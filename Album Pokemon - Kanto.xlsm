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an Franco\Desktop\Jean\Personal\Proyectos\pokehuevas\poke excel\album\"/>
    </mc:Choice>
  </mc:AlternateContent>
  <xr:revisionPtr revIDLastSave="0" documentId="13_ncr:1_{EF755A71-7CE8-47B8-8BE7-44780CB86C04}" xr6:coauthVersionLast="47" xr6:coauthVersionMax="47" xr10:uidLastSave="{00000000-0000-0000-0000-000000000000}"/>
  <bookViews>
    <workbookView xWindow="-108" yWindow="-108" windowWidth="23256" windowHeight="12456" tabRatio="500" firstSheet="1" activeTab="1" xr2:uid="{00000000-000D-0000-FFFF-FFFF00000000}"/>
  </bookViews>
  <sheets>
    <sheet name="Datos" sheetId="2" state="hidden" r:id="rId1"/>
    <sheet name="Donaciones" sheetId="5" r:id="rId2"/>
    <sheet name="Álbum" sheetId="3" r:id="rId3"/>
    <sheet name="Tienda" sheetId="4" r:id="rId4"/>
  </sheets>
  <definedNames>
    <definedName name="_xlnm._FilterDatabase" localSheetId="0" hidden="1">Datos!$A$1:$K$152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5" i="3" l="1"/>
  <c r="F133" i="3"/>
  <c r="D133" i="3"/>
  <c r="B133" i="3"/>
  <c r="F131" i="3"/>
  <c r="D131" i="3"/>
  <c r="B131" i="3"/>
  <c r="F127" i="3"/>
  <c r="D127" i="3"/>
  <c r="B127" i="3"/>
  <c r="F125" i="3"/>
  <c r="D125" i="3"/>
  <c r="B125" i="3"/>
  <c r="F123" i="3"/>
  <c r="D123" i="3"/>
  <c r="B123" i="3"/>
  <c r="F119" i="3"/>
  <c r="D119" i="3"/>
  <c r="B119" i="3"/>
  <c r="F117" i="3"/>
  <c r="D117" i="3"/>
  <c r="B117" i="3"/>
  <c r="F115" i="3"/>
  <c r="D115" i="3"/>
  <c r="B115" i="3"/>
  <c r="F111" i="3"/>
  <c r="D111" i="3"/>
  <c r="B111" i="3"/>
  <c r="F109" i="3"/>
  <c r="D109" i="3"/>
  <c r="B109" i="3"/>
  <c r="F107" i="3"/>
  <c r="D107" i="3"/>
  <c r="B107" i="3"/>
  <c r="F103" i="3"/>
  <c r="D103" i="3"/>
  <c r="B103" i="3"/>
  <c r="F101" i="3"/>
  <c r="D101" i="3"/>
  <c r="B101" i="3"/>
  <c r="F99" i="3"/>
  <c r="D99" i="3"/>
  <c r="B99" i="3"/>
  <c r="F95" i="3"/>
  <c r="D95" i="3"/>
  <c r="B95" i="3"/>
  <c r="F93" i="3"/>
  <c r="D93" i="3"/>
  <c r="B93" i="3"/>
  <c r="F91" i="3"/>
  <c r="D91" i="3"/>
  <c r="B91" i="3"/>
  <c r="F87" i="3"/>
  <c r="D87" i="3"/>
  <c r="B87" i="3"/>
  <c r="F85" i="3"/>
  <c r="D85" i="3"/>
  <c r="B85" i="3"/>
  <c r="F83" i="3"/>
  <c r="D83" i="3"/>
  <c r="B83" i="3"/>
  <c r="F79" i="3"/>
  <c r="D79" i="3"/>
  <c r="B79" i="3"/>
  <c r="F77" i="3"/>
  <c r="D77" i="3"/>
  <c r="B77" i="3"/>
  <c r="F75" i="3"/>
  <c r="D75" i="3"/>
  <c r="B75" i="3"/>
  <c r="F71" i="3"/>
  <c r="D71" i="3"/>
  <c r="B71" i="3"/>
  <c r="F69" i="3"/>
  <c r="D69" i="3"/>
  <c r="B69" i="3"/>
  <c r="F67" i="3"/>
  <c r="D67" i="3"/>
  <c r="B67" i="3"/>
  <c r="F63" i="3"/>
  <c r="D63" i="3"/>
  <c r="B63" i="3"/>
  <c r="F61" i="3"/>
  <c r="D61" i="3"/>
  <c r="B61" i="3"/>
  <c r="F59" i="3"/>
  <c r="D59" i="3"/>
  <c r="B59" i="3"/>
  <c r="F55" i="3"/>
  <c r="D55" i="3"/>
  <c r="B55" i="3"/>
  <c r="F53" i="3"/>
  <c r="D53" i="3"/>
  <c r="B53" i="3"/>
  <c r="F51" i="3"/>
  <c r="D51" i="3"/>
  <c r="B51" i="3"/>
  <c r="F47" i="3"/>
  <c r="D47" i="3"/>
  <c r="B47" i="3"/>
  <c r="F45" i="3"/>
  <c r="D45" i="3"/>
  <c r="B45" i="3"/>
  <c r="F43" i="3"/>
  <c r="D43" i="3"/>
  <c r="B43" i="3"/>
  <c r="F39" i="3"/>
  <c r="D39" i="3"/>
  <c r="B39" i="3"/>
  <c r="F37" i="3"/>
  <c r="D37" i="3"/>
  <c r="B37" i="3"/>
  <c r="F35" i="3"/>
  <c r="D35" i="3"/>
  <c r="B35" i="3"/>
  <c r="F31" i="3"/>
  <c r="D31" i="3"/>
  <c r="B31" i="3"/>
  <c r="F29" i="3"/>
  <c r="D29" i="3"/>
  <c r="B29" i="3"/>
  <c r="F27" i="3"/>
  <c r="D27" i="3"/>
  <c r="B27" i="3"/>
  <c r="F23" i="3"/>
  <c r="D23" i="3"/>
  <c r="B23" i="3"/>
  <c r="F21" i="3"/>
  <c r="D21" i="3"/>
  <c r="B21" i="3"/>
  <c r="F19" i="3"/>
  <c r="D19" i="3"/>
  <c r="B19" i="3"/>
  <c r="F15" i="3"/>
  <c r="D15" i="3"/>
  <c r="B15" i="3"/>
  <c r="F13" i="3"/>
  <c r="D13" i="3"/>
  <c r="B13" i="3"/>
  <c r="F11" i="3"/>
  <c r="D11" i="3"/>
  <c r="B11" i="3"/>
  <c r="F7" i="3"/>
  <c r="D7" i="3"/>
  <c r="B7" i="3"/>
  <c r="F5" i="3"/>
  <c r="D5" i="3"/>
  <c r="B5" i="3"/>
  <c r="F3" i="3"/>
  <c r="D3" i="3"/>
  <c r="B3" i="3"/>
  <c r="C24" i="4"/>
  <c r="B136" i="3"/>
  <c r="F134" i="3"/>
  <c r="B134" i="3"/>
  <c r="F132" i="3"/>
  <c r="B126" i="3"/>
  <c r="F124" i="3"/>
  <c r="D124" i="3"/>
  <c r="B124" i="3"/>
  <c r="F120" i="3"/>
  <c r="D120" i="3"/>
  <c r="B120" i="3"/>
  <c r="F118" i="3"/>
  <c r="D118" i="3"/>
  <c r="B118" i="3"/>
  <c r="F116" i="3"/>
  <c r="D116" i="3"/>
  <c r="B116" i="3"/>
  <c r="F112" i="3"/>
  <c r="D112" i="3"/>
  <c r="B112" i="3"/>
  <c r="F110" i="3"/>
  <c r="D110" i="3"/>
  <c r="B110" i="3"/>
  <c r="F108" i="3"/>
  <c r="D108" i="3"/>
  <c r="B108" i="3"/>
  <c r="F104" i="3"/>
  <c r="D104" i="3"/>
  <c r="B104" i="3"/>
  <c r="F102" i="3"/>
  <c r="D102" i="3"/>
  <c r="B102" i="3"/>
  <c r="F100" i="3"/>
  <c r="D100" i="3"/>
  <c r="B100" i="3"/>
  <c r="F96" i="3"/>
  <c r="D96" i="3"/>
  <c r="B96" i="3"/>
  <c r="F94" i="3"/>
  <c r="D94" i="3"/>
  <c r="B94" i="3"/>
  <c r="F92" i="3"/>
  <c r="D92" i="3"/>
  <c r="B92" i="3"/>
  <c r="F88" i="3"/>
  <c r="D88" i="3"/>
  <c r="B88" i="3"/>
  <c r="F86" i="3"/>
  <c r="D86" i="3"/>
  <c r="B86" i="3"/>
  <c r="F84" i="3"/>
  <c r="D84" i="3"/>
  <c r="B84" i="3"/>
  <c r="F80" i="3"/>
  <c r="D80" i="3"/>
  <c r="B80" i="3"/>
  <c r="F78" i="3"/>
  <c r="D78" i="3"/>
  <c r="B78" i="3"/>
  <c r="F76" i="3"/>
  <c r="D76" i="3"/>
  <c r="B76" i="3"/>
  <c r="F72" i="3"/>
  <c r="D72" i="3"/>
  <c r="B72" i="3"/>
  <c r="F70" i="3"/>
  <c r="D70" i="3"/>
  <c r="B70" i="3"/>
  <c r="F68" i="3"/>
  <c r="D68" i="3"/>
  <c r="B68" i="3"/>
  <c r="F64" i="3"/>
  <c r="D64" i="3"/>
  <c r="B64" i="3"/>
  <c r="F62" i="3"/>
  <c r="D62" i="3"/>
  <c r="B62" i="3"/>
  <c r="F60" i="3"/>
  <c r="D60" i="3"/>
  <c r="B60" i="3"/>
  <c r="F56" i="3"/>
  <c r="D56" i="3"/>
  <c r="B56" i="3"/>
  <c r="F54" i="3"/>
  <c r="D54" i="3"/>
  <c r="B54" i="3"/>
  <c r="F52" i="3"/>
  <c r="D52" i="3"/>
  <c r="B52" i="3"/>
  <c r="F48" i="3"/>
  <c r="D48" i="3"/>
  <c r="B48" i="3"/>
  <c r="F46" i="3"/>
  <c r="D46" i="3"/>
  <c r="B46" i="3"/>
  <c r="F44" i="3"/>
  <c r="D44" i="3"/>
  <c r="B44" i="3"/>
  <c r="F40" i="3"/>
  <c r="D40" i="3"/>
  <c r="B40" i="3"/>
  <c r="F38" i="3"/>
  <c r="D38" i="3"/>
  <c r="B38" i="3"/>
  <c r="F36" i="3"/>
  <c r="D36" i="3"/>
  <c r="B36" i="3"/>
  <c r="F32" i="3"/>
  <c r="D32" i="3"/>
  <c r="B32" i="3"/>
  <c r="F30" i="3"/>
  <c r="D30" i="3"/>
  <c r="B30" i="3"/>
  <c r="F28" i="3"/>
  <c r="D28" i="3"/>
  <c r="B28" i="3"/>
  <c r="F24" i="3"/>
  <c r="D24" i="3"/>
  <c r="B24" i="3"/>
  <c r="F22" i="3"/>
  <c r="D22" i="3"/>
  <c r="B22" i="3"/>
  <c r="F20" i="3"/>
  <c r="D20" i="3"/>
  <c r="B20" i="3"/>
  <c r="F16" i="3"/>
  <c r="D16" i="3"/>
  <c r="B16" i="3"/>
  <c r="F14" i="3"/>
  <c r="D14" i="3"/>
  <c r="B14" i="3"/>
  <c r="F12" i="3"/>
  <c r="D12" i="3"/>
  <c r="B12" i="3"/>
  <c r="F8" i="3"/>
  <c r="D8" i="3"/>
  <c r="B8" i="3"/>
  <c r="F6" i="3"/>
  <c r="D6" i="3"/>
  <c r="B6" i="3"/>
  <c r="F4" i="3"/>
  <c r="D4" i="3"/>
  <c r="B4" i="3"/>
  <c r="D134" i="3"/>
  <c r="D132" i="3"/>
  <c r="B132" i="3"/>
  <c r="F128" i="3"/>
  <c r="D128" i="3"/>
  <c r="B128" i="3"/>
  <c r="F126" i="3"/>
  <c r="D126" i="3"/>
  <c r="C25" i="4" l="1"/>
  <c r="C23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5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</futureMetadata>
  <valueMetadata count="15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</valueMetadata>
</metadata>
</file>

<file path=xl/sharedStrings.xml><?xml version="1.0" encoding="utf-8"?>
<sst xmlns="http://schemas.openxmlformats.org/spreadsheetml/2006/main" count="951" uniqueCount="517">
  <si>
    <t>ID</t>
  </si>
  <si>
    <t>Nombre</t>
  </si>
  <si>
    <t>Tipo</t>
  </si>
  <si>
    <t>Rareza</t>
  </si>
  <si>
    <t>Peso</t>
  </si>
  <si>
    <t>Obtenido</t>
  </si>
  <si>
    <t>Duplicados</t>
  </si>
  <si>
    <t>URL_Imagen</t>
  </si>
  <si>
    <t>URL_Placeholder</t>
  </si>
  <si>
    <t>CeldaAlbum</t>
  </si>
  <si>
    <t>Bulbasaur</t>
  </si>
  <si>
    <t>Planta</t>
  </si>
  <si>
    <t>Común</t>
  </si>
  <si>
    <t>https://raw.githubusercontent.com/PokeAPI/sprites/master/sprites/pokemon/other/official-artwork/1.png</t>
  </si>
  <si>
    <t>https://raw.githubusercontent.com/PokeAPI/sprites/master/sprites/items/poke-ball.png</t>
  </si>
  <si>
    <t>B3</t>
  </si>
  <si>
    <t>Ivysaur</t>
  </si>
  <si>
    <t>Poco Común</t>
  </si>
  <si>
    <t>https://raw.githubusercontent.com/PokeAPI/sprites/master/sprites/pokemon/other/official-artwork/2.png</t>
  </si>
  <si>
    <t>D3</t>
  </si>
  <si>
    <t>Venusaur</t>
  </si>
  <si>
    <t>Rara</t>
  </si>
  <si>
    <t>https://raw.githubusercontent.com/PokeAPI/sprites/master/sprites/pokemon/other/official-artwork/3.png</t>
  </si>
  <si>
    <t>F3</t>
  </si>
  <si>
    <t>Charmander</t>
  </si>
  <si>
    <t>Fuego</t>
  </si>
  <si>
    <t>https://raw.githubusercontent.com/PokeAPI/sprites/master/sprites/pokemon/other/official-artwork/4.png</t>
  </si>
  <si>
    <t>B5</t>
  </si>
  <si>
    <t>Charmeleon</t>
  </si>
  <si>
    <t>https://raw.githubusercontent.com/PokeAPI/sprites/master/sprites/pokemon/other/official-artwork/5.png</t>
  </si>
  <si>
    <t>D5</t>
  </si>
  <si>
    <t>Charizard</t>
  </si>
  <si>
    <t>https://raw.githubusercontent.com/PokeAPI/sprites/master/sprites/pokemon/other/official-artwork/6.png</t>
  </si>
  <si>
    <t>F5</t>
  </si>
  <si>
    <t>Squirtle</t>
  </si>
  <si>
    <t>Agua</t>
  </si>
  <si>
    <t>https://raw.githubusercontent.com/PokeAPI/sprites/master/sprites/pokemon/other/official-artwork/7.png</t>
  </si>
  <si>
    <t>B7</t>
  </si>
  <si>
    <t>Wartortle</t>
  </si>
  <si>
    <t>https://raw.githubusercontent.com/PokeAPI/sprites/master/sprites/pokemon/other/official-artwork/8.png</t>
  </si>
  <si>
    <t>D7</t>
  </si>
  <si>
    <t>Blastoise</t>
  </si>
  <si>
    <t>https://raw.githubusercontent.com/PokeAPI/sprites/master/sprites/pokemon/other/official-artwork/9.png</t>
  </si>
  <si>
    <t>F7</t>
  </si>
  <si>
    <t>Caterpie</t>
  </si>
  <si>
    <t>Bicho</t>
  </si>
  <si>
    <t>https://raw.githubusercontent.com/PokeAPI/sprites/master/sprites/pokemon/other/official-artwork/10.png</t>
  </si>
  <si>
    <t>B11</t>
  </si>
  <si>
    <t>Metapod</t>
  </si>
  <si>
    <t>https://raw.githubusercontent.com/PokeAPI/sprites/master/sprites/pokemon/other/official-artwork/11.png</t>
  </si>
  <si>
    <t>D11</t>
  </si>
  <si>
    <t>Butterfree</t>
  </si>
  <si>
    <t>https://raw.githubusercontent.com/PokeAPI/sprites/master/sprites/pokemon/other/official-artwork/12.png</t>
  </si>
  <si>
    <t>F11</t>
  </si>
  <si>
    <t>Weedle</t>
  </si>
  <si>
    <t>https://raw.githubusercontent.com/PokeAPI/sprites/master/sprites/pokemon/other/official-artwork/13.png</t>
  </si>
  <si>
    <t>B13</t>
  </si>
  <si>
    <t>Kakuna</t>
  </si>
  <si>
    <t>https://raw.githubusercontent.com/PokeAPI/sprites/master/sprites/pokemon/other/official-artwork/14.png</t>
  </si>
  <si>
    <t>D13</t>
  </si>
  <si>
    <t>Beedrill</t>
  </si>
  <si>
    <t>https://raw.githubusercontent.com/PokeAPI/sprites/master/sprites/pokemon/other/official-artwork/15.png</t>
  </si>
  <si>
    <t>F13</t>
  </si>
  <si>
    <t>Pidgey</t>
  </si>
  <si>
    <t>Normal</t>
  </si>
  <si>
    <t>https://raw.githubusercontent.com/PokeAPI/sprites/master/sprites/pokemon/other/official-artwork/16.png</t>
  </si>
  <si>
    <t>B15</t>
  </si>
  <si>
    <t>Pidgeotto</t>
  </si>
  <si>
    <t>https://raw.githubusercontent.com/PokeAPI/sprites/master/sprites/pokemon/other/official-artwork/17.png</t>
  </si>
  <si>
    <t>D15</t>
  </si>
  <si>
    <t>Pidgeot</t>
  </si>
  <si>
    <t>https://raw.githubusercontent.com/PokeAPI/sprites/master/sprites/pokemon/other/official-artwork/18.png</t>
  </si>
  <si>
    <t>F15</t>
  </si>
  <si>
    <t>Rattata</t>
  </si>
  <si>
    <t>https://raw.githubusercontent.com/PokeAPI/sprites/master/sprites/pokemon/other/official-artwork/19.png</t>
  </si>
  <si>
    <t>B19</t>
  </si>
  <si>
    <t>Raticate</t>
  </si>
  <si>
    <t>https://raw.githubusercontent.com/PokeAPI/sprites/master/sprites/pokemon/other/official-artwork/20.png</t>
  </si>
  <si>
    <t>D19</t>
  </si>
  <si>
    <t>Spearow</t>
  </si>
  <si>
    <t>https://raw.githubusercontent.com/PokeAPI/sprites/master/sprites/pokemon/other/official-artwork/21.png</t>
  </si>
  <si>
    <t>F19</t>
  </si>
  <si>
    <t>Fearow</t>
  </si>
  <si>
    <t>https://raw.githubusercontent.com/PokeAPI/sprites/master/sprites/pokemon/other/official-artwork/22.png</t>
  </si>
  <si>
    <t>B21</t>
  </si>
  <si>
    <t>Ekans</t>
  </si>
  <si>
    <t>Veneno</t>
  </si>
  <si>
    <t>https://raw.githubusercontent.com/PokeAPI/sprites/master/sprites/pokemon/other/official-artwork/23.png</t>
  </si>
  <si>
    <t>D21</t>
  </si>
  <si>
    <t>Arbok</t>
  </si>
  <si>
    <t>https://raw.githubusercontent.com/PokeAPI/sprites/master/sprites/pokemon/other/official-artwork/24.png</t>
  </si>
  <si>
    <t>F21</t>
  </si>
  <si>
    <t>Pikachu</t>
  </si>
  <si>
    <t>Eléctrico</t>
  </si>
  <si>
    <t>https://raw.githubusercontent.com/PokeAPI/sprites/master/sprites/pokemon/other/official-artwork/25.png</t>
  </si>
  <si>
    <t>B23</t>
  </si>
  <si>
    <t>Raichu</t>
  </si>
  <si>
    <t>https://raw.githubusercontent.com/PokeAPI/sprites/master/sprites/pokemon/other/official-artwork/26.png</t>
  </si>
  <si>
    <t>D23</t>
  </si>
  <si>
    <t>Sandshrew</t>
  </si>
  <si>
    <t>Tierra</t>
  </si>
  <si>
    <t>https://raw.githubusercontent.com/PokeAPI/sprites/master/sprites/pokemon/other/official-artwork/27.png</t>
  </si>
  <si>
    <t>F23</t>
  </si>
  <si>
    <t>Sandslash</t>
  </si>
  <si>
    <t>https://raw.githubusercontent.com/PokeAPI/sprites/master/sprites/pokemon/other/official-artwork/28.png</t>
  </si>
  <si>
    <t>B27</t>
  </si>
  <si>
    <t>Nidoran (H)</t>
  </si>
  <si>
    <t>https://raw.githubusercontent.com/PokeAPI/sprites/master/sprites/pokemon/other/official-artwork/29.png</t>
  </si>
  <si>
    <t>D27</t>
  </si>
  <si>
    <t>Nidorina</t>
  </si>
  <si>
    <t>https://raw.githubusercontent.com/PokeAPI/sprites/master/sprites/pokemon/other/official-artwork/30.png</t>
  </si>
  <si>
    <t>F27</t>
  </si>
  <si>
    <t>Nidoqueen</t>
  </si>
  <si>
    <t>https://raw.githubusercontent.com/PokeAPI/sprites/master/sprites/pokemon/other/official-artwork/31.png</t>
  </si>
  <si>
    <t>B29</t>
  </si>
  <si>
    <t>Nidoran (M)</t>
  </si>
  <si>
    <t>https://raw.githubusercontent.com/PokeAPI/sprites/master/sprites/pokemon/other/official-artwork/32.png</t>
  </si>
  <si>
    <t>D29</t>
  </si>
  <si>
    <t>Nidorino</t>
  </si>
  <si>
    <t>https://raw.githubusercontent.com/PokeAPI/sprites/master/sprites/pokemon/other/official-artwork/33.png</t>
  </si>
  <si>
    <t>F29</t>
  </si>
  <si>
    <t>Nidoking</t>
  </si>
  <si>
    <t>https://raw.githubusercontent.com/PokeAPI/sprites/master/sprites/pokemon/other/official-artwork/34.png</t>
  </si>
  <si>
    <t>B31</t>
  </si>
  <si>
    <t>Clefairy</t>
  </si>
  <si>
    <t>Hada</t>
  </si>
  <si>
    <t>https://raw.githubusercontent.com/PokeAPI/sprites/master/sprites/pokemon/other/official-artwork/35.png</t>
  </si>
  <si>
    <t>D31</t>
  </si>
  <si>
    <t>Clefable</t>
  </si>
  <si>
    <t>https://raw.githubusercontent.com/PokeAPI/sprites/master/sprites/pokemon/other/official-artwork/36.png</t>
  </si>
  <si>
    <t>F31</t>
  </si>
  <si>
    <t>Vulpix</t>
  </si>
  <si>
    <t>https://raw.githubusercontent.com/PokeAPI/sprites/master/sprites/pokemon/other/official-artwork/37.png</t>
  </si>
  <si>
    <t>B35</t>
  </si>
  <si>
    <t>Ninetales</t>
  </si>
  <si>
    <t>https://raw.githubusercontent.com/PokeAPI/sprites/master/sprites/pokemon/other/official-artwork/38.png</t>
  </si>
  <si>
    <t>D35</t>
  </si>
  <si>
    <t>Jigglypuff</t>
  </si>
  <si>
    <t>https://raw.githubusercontent.com/PokeAPI/sprites/master/sprites/pokemon/other/official-artwork/39.png</t>
  </si>
  <si>
    <t>F35</t>
  </si>
  <si>
    <t>Wigglytuff</t>
  </si>
  <si>
    <t>https://raw.githubusercontent.com/PokeAPI/sprites/master/sprites/pokemon/other/official-artwork/40.png</t>
  </si>
  <si>
    <t>B37</t>
  </si>
  <si>
    <t>Zubat</t>
  </si>
  <si>
    <t>https://raw.githubusercontent.com/PokeAPI/sprites/master/sprites/pokemon/other/official-artwork/41.png</t>
  </si>
  <si>
    <t>D37</t>
  </si>
  <si>
    <t>Golbat</t>
  </si>
  <si>
    <t>https://raw.githubusercontent.com/PokeAPI/sprites/master/sprites/pokemon/other/official-artwork/42.png</t>
  </si>
  <si>
    <t>F37</t>
  </si>
  <si>
    <t>Oddish</t>
  </si>
  <si>
    <t>https://raw.githubusercontent.com/PokeAPI/sprites/master/sprites/pokemon/other/official-artwork/43.png</t>
  </si>
  <si>
    <t>B39</t>
  </si>
  <si>
    <t>Gloom</t>
  </si>
  <si>
    <t>https://raw.githubusercontent.com/PokeAPI/sprites/master/sprites/pokemon/other/official-artwork/44.png</t>
  </si>
  <si>
    <t>D39</t>
  </si>
  <si>
    <t>Vileplume</t>
  </si>
  <si>
    <t>https://raw.githubusercontent.com/PokeAPI/sprites/master/sprites/pokemon/other/official-artwork/45.png</t>
  </si>
  <si>
    <t>F39</t>
  </si>
  <si>
    <t>Paras</t>
  </si>
  <si>
    <t>https://raw.githubusercontent.com/PokeAPI/sprites/master/sprites/pokemon/other/official-artwork/46.png</t>
  </si>
  <si>
    <t>B43</t>
  </si>
  <si>
    <t>Parasect</t>
  </si>
  <si>
    <t>https://raw.githubusercontent.com/PokeAPI/sprites/master/sprites/pokemon/other/official-artwork/47.png</t>
  </si>
  <si>
    <t>D43</t>
  </si>
  <si>
    <t>Venonat</t>
  </si>
  <si>
    <t>https://raw.githubusercontent.com/PokeAPI/sprites/master/sprites/pokemon/other/official-artwork/48.png</t>
  </si>
  <si>
    <t>F43</t>
  </si>
  <si>
    <t>Venomoth</t>
  </si>
  <si>
    <t>https://raw.githubusercontent.com/PokeAPI/sprites/master/sprites/pokemon/other/official-artwork/49.png</t>
  </si>
  <si>
    <t>B45</t>
  </si>
  <si>
    <t>Diglett</t>
  </si>
  <si>
    <t>https://raw.githubusercontent.com/PokeAPI/sprites/master/sprites/pokemon/other/official-artwork/50.png</t>
  </si>
  <si>
    <t>D45</t>
  </si>
  <si>
    <t>Dugtrio</t>
  </si>
  <si>
    <t>https://raw.githubusercontent.com/PokeAPI/sprites/master/sprites/pokemon/other/official-artwork/51.png</t>
  </si>
  <si>
    <t>F45</t>
  </si>
  <si>
    <t>Meowth</t>
  </si>
  <si>
    <t>https://raw.githubusercontent.com/PokeAPI/sprites/master/sprites/pokemon/other/official-artwork/52.png</t>
  </si>
  <si>
    <t>B47</t>
  </si>
  <si>
    <t>Persian</t>
  </si>
  <si>
    <t>https://raw.githubusercontent.com/PokeAPI/sprites/master/sprites/pokemon/other/official-artwork/53.png</t>
  </si>
  <si>
    <t>D47</t>
  </si>
  <si>
    <t>Psyduck</t>
  </si>
  <si>
    <t>https://raw.githubusercontent.com/PokeAPI/sprites/master/sprites/pokemon/other/official-artwork/54.png</t>
  </si>
  <si>
    <t>F47</t>
  </si>
  <si>
    <t>Golduck</t>
  </si>
  <si>
    <t>https://raw.githubusercontent.com/PokeAPI/sprites/master/sprites/pokemon/other/official-artwork/55.png</t>
  </si>
  <si>
    <t>B51</t>
  </si>
  <si>
    <t>Mankey</t>
  </si>
  <si>
    <t>Lucha</t>
  </si>
  <si>
    <t>https://raw.githubusercontent.com/PokeAPI/sprites/master/sprites/pokemon/other/official-artwork/56.png</t>
  </si>
  <si>
    <t>D51</t>
  </si>
  <si>
    <t>Primeape</t>
  </si>
  <si>
    <t>https://raw.githubusercontent.com/PokeAPI/sprites/master/sprites/pokemon/other/official-artwork/57.png</t>
  </si>
  <si>
    <t>F51</t>
  </si>
  <si>
    <t>Growlithe</t>
  </si>
  <si>
    <t>https://raw.githubusercontent.com/PokeAPI/sprites/master/sprites/pokemon/other/official-artwork/58.png</t>
  </si>
  <si>
    <t>B53</t>
  </si>
  <si>
    <t>Arcanine</t>
  </si>
  <si>
    <t>https://raw.githubusercontent.com/PokeAPI/sprites/master/sprites/pokemon/other/official-artwork/59.png</t>
  </si>
  <si>
    <t>D53</t>
  </si>
  <si>
    <t>Poliwag</t>
  </si>
  <si>
    <t>https://raw.githubusercontent.com/PokeAPI/sprites/master/sprites/pokemon/other/official-artwork/60.png</t>
  </si>
  <si>
    <t>F53</t>
  </si>
  <si>
    <t>Poliwhirl</t>
  </si>
  <si>
    <t>https://raw.githubusercontent.com/PokeAPI/sprites/master/sprites/pokemon/other/official-artwork/61.png</t>
  </si>
  <si>
    <t>B55</t>
  </si>
  <si>
    <t>Poliwrath</t>
  </si>
  <si>
    <t>https://raw.githubusercontent.com/PokeAPI/sprites/master/sprites/pokemon/other/official-artwork/62.png</t>
  </si>
  <si>
    <t>D55</t>
  </si>
  <si>
    <t>Abra</t>
  </si>
  <si>
    <t>Psíquico</t>
  </si>
  <si>
    <t>https://raw.githubusercontent.com/PokeAPI/sprites/master/sprites/pokemon/other/official-artwork/63.png</t>
  </si>
  <si>
    <t>F55</t>
  </si>
  <si>
    <t>Kadabra</t>
  </si>
  <si>
    <t>https://raw.githubusercontent.com/PokeAPI/sprites/master/sprites/pokemon/other/official-artwork/64.png</t>
  </si>
  <si>
    <t>B59</t>
  </si>
  <si>
    <t>Alakazam</t>
  </si>
  <si>
    <t>https://raw.githubusercontent.com/PokeAPI/sprites/master/sprites/pokemon/other/official-artwork/65.png</t>
  </si>
  <si>
    <t>D59</t>
  </si>
  <si>
    <t>Machop</t>
  </si>
  <si>
    <t>https://raw.githubusercontent.com/PokeAPI/sprites/master/sprites/pokemon/other/official-artwork/66.png</t>
  </si>
  <si>
    <t>F59</t>
  </si>
  <si>
    <t>Machoke</t>
  </si>
  <si>
    <t>https://raw.githubusercontent.com/PokeAPI/sprites/master/sprites/pokemon/other/official-artwork/67.png</t>
  </si>
  <si>
    <t>B61</t>
  </si>
  <si>
    <t>Machamp</t>
  </si>
  <si>
    <t>https://raw.githubusercontent.com/PokeAPI/sprites/master/sprites/pokemon/other/official-artwork/68.png</t>
  </si>
  <si>
    <t>D61</t>
  </si>
  <si>
    <t>Bellsprout</t>
  </si>
  <si>
    <t>https://raw.githubusercontent.com/PokeAPI/sprites/master/sprites/pokemon/other/official-artwork/69.png</t>
  </si>
  <si>
    <t>F61</t>
  </si>
  <si>
    <t>Weepinbell</t>
  </si>
  <si>
    <t>https://raw.githubusercontent.com/PokeAPI/sprites/master/sprites/pokemon/other/official-artwork/70.png</t>
  </si>
  <si>
    <t>B63</t>
  </si>
  <si>
    <t>Victreebel</t>
  </si>
  <si>
    <t>https://raw.githubusercontent.com/PokeAPI/sprites/master/sprites/pokemon/other/official-artwork/71.png</t>
  </si>
  <si>
    <t>D63</t>
  </si>
  <si>
    <t>Tentacool</t>
  </si>
  <si>
    <t>https://raw.githubusercontent.com/PokeAPI/sprites/master/sprites/pokemon/other/official-artwork/72.png</t>
  </si>
  <si>
    <t>F63</t>
  </si>
  <si>
    <t>Tentacruel</t>
  </si>
  <si>
    <t>https://raw.githubusercontent.com/PokeAPI/sprites/master/sprites/pokemon/other/official-artwork/73.png</t>
  </si>
  <si>
    <t>B67</t>
  </si>
  <si>
    <t>Geodude</t>
  </si>
  <si>
    <t>Roca</t>
  </si>
  <si>
    <t>https://raw.githubusercontent.com/PokeAPI/sprites/master/sprites/pokemon/other/official-artwork/74.png</t>
  </si>
  <si>
    <t>D67</t>
  </si>
  <si>
    <t>Graveler</t>
  </si>
  <si>
    <t>https://raw.githubusercontent.com/PokeAPI/sprites/master/sprites/pokemon/other/official-artwork/75.png</t>
  </si>
  <si>
    <t>F67</t>
  </si>
  <si>
    <t>Golem</t>
  </si>
  <si>
    <t>https://raw.githubusercontent.com/PokeAPI/sprites/master/sprites/pokemon/other/official-artwork/76.png</t>
  </si>
  <si>
    <t>B69</t>
  </si>
  <si>
    <t>Ponyta</t>
  </si>
  <si>
    <t>https://raw.githubusercontent.com/PokeAPI/sprites/master/sprites/pokemon/other/official-artwork/77.png</t>
  </si>
  <si>
    <t>D69</t>
  </si>
  <si>
    <t>Rapidash</t>
  </si>
  <si>
    <t>https://raw.githubusercontent.com/PokeAPI/sprites/master/sprites/pokemon/other/official-artwork/78.png</t>
  </si>
  <si>
    <t>F69</t>
  </si>
  <si>
    <t>Slowpoke</t>
  </si>
  <si>
    <t>https://raw.githubusercontent.com/PokeAPI/sprites/master/sprites/pokemon/other/official-artwork/79.png</t>
  </si>
  <si>
    <t>B71</t>
  </si>
  <si>
    <t>Slowbro</t>
  </si>
  <si>
    <t>https://raw.githubusercontent.com/PokeAPI/sprites/master/sprites/pokemon/other/official-artwork/80.png</t>
  </si>
  <si>
    <t>D71</t>
  </si>
  <si>
    <t>Magnemite</t>
  </si>
  <si>
    <t>https://raw.githubusercontent.com/PokeAPI/sprites/master/sprites/pokemon/other/official-artwork/81.png</t>
  </si>
  <si>
    <t>F71</t>
  </si>
  <si>
    <t>Magneton</t>
  </si>
  <si>
    <t>https://raw.githubusercontent.com/PokeAPI/sprites/master/sprites/pokemon/other/official-artwork/82.png</t>
  </si>
  <si>
    <t>B75</t>
  </si>
  <si>
    <t>Farfetch'd</t>
  </si>
  <si>
    <t>https://raw.githubusercontent.com/PokeAPI/sprites/master/sprites/pokemon/other/official-artwork/83.png</t>
  </si>
  <si>
    <t>D75</t>
  </si>
  <si>
    <t>Doduo</t>
  </si>
  <si>
    <t>https://raw.githubusercontent.com/PokeAPI/sprites/master/sprites/pokemon/other/official-artwork/84.png</t>
  </si>
  <si>
    <t>F75</t>
  </si>
  <si>
    <t>Dodrio</t>
  </si>
  <si>
    <t>https://raw.githubusercontent.com/PokeAPI/sprites/master/sprites/pokemon/other/official-artwork/85.png</t>
  </si>
  <si>
    <t>B77</t>
  </si>
  <si>
    <t>Seel</t>
  </si>
  <si>
    <t>https://raw.githubusercontent.com/PokeAPI/sprites/master/sprites/pokemon/other/official-artwork/86.png</t>
  </si>
  <si>
    <t>D77</t>
  </si>
  <si>
    <t>Dewgong</t>
  </si>
  <si>
    <t>https://raw.githubusercontent.com/PokeAPI/sprites/master/sprites/pokemon/other/official-artwork/87.png</t>
  </si>
  <si>
    <t>F77</t>
  </si>
  <si>
    <t>Grimer</t>
  </si>
  <si>
    <t>https://raw.githubusercontent.com/PokeAPI/sprites/master/sprites/pokemon/other/official-artwork/88.png</t>
  </si>
  <si>
    <t>B79</t>
  </si>
  <si>
    <t>Muk</t>
  </si>
  <si>
    <t>https://raw.githubusercontent.com/PokeAPI/sprites/master/sprites/pokemon/other/official-artwork/89.png</t>
  </si>
  <si>
    <t>D79</t>
  </si>
  <si>
    <t>Shellder</t>
  </si>
  <si>
    <t>https://raw.githubusercontent.com/PokeAPI/sprites/master/sprites/pokemon/other/official-artwork/90.png</t>
  </si>
  <si>
    <t>F79</t>
  </si>
  <si>
    <t>Cloyster</t>
  </si>
  <si>
    <t>https://raw.githubusercontent.com/PokeAPI/sprites/master/sprites/pokemon/other/official-artwork/91.png</t>
  </si>
  <si>
    <t>B83</t>
  </si>
  <si>
    <t>Gastly</t>
  </si>
  <si>
    <t>Fantasma</t>
  </si>
  <si>
    <t>https://raw.githubusercontent.com/PokeAPI/sprites/master/sprites/pokemon/other/official-artwork/92.png</t>
  </si>
  <si>
    <t>D83</t>
  </si>
  <si>
    <t>Haunter</t>
  </si>
  <si>
    <t>https://raw.githubusercontent.com/PokeAPI/sprites/master/sprites/pokemon/other/official-artwork/93.png</t>
  </si>
  <si>
    <t>F83</t>
  </si>
  <si>
    <t>Gengar</t>
  </si>
  <si>
    <t>https://raw.githubusercontent.com/PokeAPI/sprites/master/sprites/pokemon/other/official-artwork/94.png</t>
  </si>
  <si>
    <t>B85</t>
  </si>
  <si>
    <t>Onix</t>
  </si>
  <si>
    <t>https://raw.githubusercontent.com/PokeAPI/sprites/master/sprites/pokemon/other/official-artwork/95.png</t>
  </si>
  <si>
    <t>D85</t>
  </si>
  <si>
    <t>Drowzee</t>
  </si>
  <si>
    <t>https://raw.githubusercontent.com/PokeAPI/sprites/master/sprites/pokemon/other/official-artwork/96.png</t>
  </si>
  <si>
    <t>F85</t>
  </si>
  <si>
    <t>Hypno</t>
  </si>
  <si>
    <t>https://raw.githubusercontent.com/PokeAPI/sprites/master/sprites/pokemon/other/official-artwork/97.png</t>
  </si>
  <si>
    <t>B87</t>
  </si>
  <si>
    <t>Krabby</t>
  </si>
  <si>
    <t>https://raw.githubusercontent.com/PokeAPI/sprites/master/sprites/pokemon/other/official-artwork/98.png</t>
  </si>
  <si>
    <t>D87</t>
  </si>
  <si>
    <t>Kingler</t>
  </si>
  <si>
    <t>https://raw.githubusercontent.com/PokeAPI/sprites/master/sprites/pokemon/other/official-artwork/99.png</t>
  </si>
  <si>
    <t>F87</t>
  </si>
  <si>
    <t>Voltorb</t>
  </si>
  <si>
    <t>https://raw.githubusercontent.com/PokeAPI/sprites/master/sprites/pokemon/other/official-artwork/100.png</t>
  </si>
  <si>
    <t>B91</t>
  </si>
  <si>
    <t>Electrode</t>
  </si>
  <si>
    <t>https://raw.githubusercontent.com/PokeAPI/sprites/master/sprites/pokemon/other/official-artwork/101.png</t>
  </si>
  <si>
    <t>D91</t>
  </si>
  <si>
    <t>Exeggcute</t>
  </si>
  <si>
    <t>https://raw.githubusercontent.com/PokeAPI/sprites/master/sprites/pokemon/other/official-artwork/102.png</t>
  </si>
  <si>
    <t>F91</t>
  </si>
  <si>
    <t>Exeggutor</t>
  </si>
  <si>
    <t>https://raw.githubusercontent.com/PokeAPI/sprites/master/sprites/pokemon/other/official-artwork/103.png</t>
  </si>
  <si>
    <t>B93</t>
  </si>
  <si>
    <t>Cubone</t>
  </si>
  <si>
    <t>https://raw.githubusercontent.com/PokeAPI/sprites/master/sprites/pokemon/other/official-artwork/104.png</t>
  </si>
  <si>
    <t>D93</t>
  </si>
  <si>
    <t>Marowak</t>
  </si>
  <si>
    <t>https://raw.githubusercontent.com/PokeAPI/sprites/master/sprites/pokemon/other/official-artwork/105.png</t>
  </si>
  <si>
    <t>F93</t>
  </si>
  <si>
    <t>Hitmonlee</t>
  </si>
  <si>
    <t>https://raw.githubusercontent.com/PokeAPI/sprites/master/sprites/pokemon/other/official-artwork/106.png</t>
  </si>
  <si>
    <t>B95</t>
  </si>
  <si>
    <t>Hitmonchan</t>
  </si>
  <si>
    <t>https://raw.githubusercontent.com/PokeAPI/sprites/master/sprites/pokemon/other/official-artwork/107.png</t>
  </si>
  <si>
    <t>D95</t>
  </si>
  <si>
    <t>Lickitung</t>
  </si>
  <si>
    <t>https://raw.githubusercontent.com/PokeAPI/sprites/master/sprites/pokemon/other/official-artwork/108.png</t>
  </si>
  <si>
    <t>F95</t>
  </si>
  <si>
    <t>Koffing</t>
  </si>
  <si>
    <t>https://raw.githubusercontent.com/PokeAPI/sprites/master/sprites/pokemon/other/official-artwork/109.png</t>
  </si>
  <si>
    <t>B99</t>
  </si>
  <si>
    <t>Weezing</t>
  </si>
  <si>
    <t>https://raw.githubusercontent.com/PokeAPI/sprites/master/sprites/pokemon/other/official-artwork/110.png</t>
  </si>
  <si>
    <t>D99</t>
  </si>
  <si>
    <t>Rhyhorn</t>
  </si>
  <si>
    <t>https://raw.githubusercontent.com/PokeAPI/sprites/master/sprites/pokemon/other/official-artwork/111.png</t>
  </si>
  <si>
    <t>F99</t>
  </si>
  <si>
    <t>Rhydon</t>
  </si>
  <si>
    <t>https://raw.githubusercontent.com/PokeAPI/sprites/master/sprites/pokemon/other/official-artwork/112.png</t>
  </si>
  <si>
    <t>B101</t>
  </si>
  <si>
    <t>Chansey</t>
  </si>
  <si>
    <t>https://raw.githubusercontent.com/PokeAPI/sprites/master/sprites/pokemon/other/official-artwork/113.png</t>
  </si>
  <si>
    <t>D101</t>
  </si>
  <si>
    <t>Tangela</t>
  </si>
  <si>
    <t>https://raw.githubusercontent.com/PokeAPI/sprites/master/sprites/pokemon/other/official-artwork/114.png</t>
  </si>
  <si>
    <t>F101</t>
  </si>
  <si>
    <t>Kangaskhan</t>
  </si>
  <si>
    <t>https://raw.githubusercontent.com/PokeAPI/sprites/master/sprites/pokemon/other/official-artwork/115.png</t>
  </si>
  <si>
    <t>B103</t>
  </si>
  <si>
    <t>Horsea</t>
  </si>
  <si>
    <t>https://raw.githubusercontent.com/PokeAPI/sprites/master/sprites/pokemon/other/official-artwork/116.png</t>
  </si>
  <si>
    <t>D103</t>
  </si>
  <si>
    <t>Seadra</t>
  </si>
  <si>
    <t>https://raw.githubusercontent.com/PokeAPI/sprites/master/sprites/pokemon/other/official-artwork/117.png</t>
  </si>
  <si>
    <t>F103</t>
  </si>
  <si>
    <t>Goldeen</t>
  </si>
  <si>
    <t>https://raw.githubusercontent.com/PokeAPI/sprites/master/sprites/pokemon/other/official-artwork/118.png</t>
  </si>
  <si>
    <t>B107</t>
  </si>
  <si>
    <t>Seaking</t>
  </si>
  <si>
    <t>https://raw.githubusercontent.com/PokeAPI/sprites/master/sprites/pokemon/other/official-artwork/119.png</t>
  </si>
  <si>
    <t>D107</t>
  </si>
  <si>
    <t>Staryu</t>
  </si>
  <si>
    <t>https://raw.githubusercontent.com/PokeAPI/sprites/master/sprites/pokemon/other/official-artwork/120.png</t>
  </si>
  <si>
    <t>F107</t>
  </si>
  <si>
    <t>Starmie</t>
  </si>
  <si>
    <t>https://raw.githubusercontent.com/PokeAPI/sprites/master/sprites/pokemon/other/official-artwork/121.png</t>
  </si>
  <si>
    <t>B109</t>
  </si>
  <si>
    <t>Mr. Mime</t>
  </si>
  <si>
    <t>https://raw.githubusercontent.com/PokeAPI/sprites/master/sprites/pokemon/other/official-artwork/122.png</t>
  </si>
  <si>
    <t>D109</t>
  </si>
  <si>
    <t>Scyther</t>
  </si>
  <si>
    <t>https://raw.githubusercontent.com/PokeAPI/sprites/master/sprites/pokemon/other/official-artwork/123.png</t>
  </si>
  <si>
    <t>F109</t>
  </si>
  <si>
    <t>Jynx</t>
  </si>
  <si>
    <t>Hielo</t>
  </si>
  <si>
    <t>https://raw.githubusercontent.com/PokeAPI/sprites/master/sprites/pokemon/other/official-artwork/124.png</t>
  </si>
  <si>
    <t>B111</t>
  </si>
  <si>
    <t>Electabuzz</t>
  </si>
  <si>
    <t>https://raw.githubusercontent.com/PokeAPI/sprites/master/sprites/pokemon/other/official-artwork/125.png</t>
  </si>
  <si>
    <t>D111</t>
  </si>
  <si>
    <t>Magmar</t>
  </si>
  <si>
    <t>https://raw.githubusercontent.com/PokeAPI/sprites/master/sprites/pokemon/other/official-artwork/126.png</t>
  </si>
  <si>
    <t>F111</t>
  </si>
  <si>
    <t>Pinsir</t>
  </si>
  <si>
    <t>https://raw.githubusercontent.com/PokeAPI/sprites/master/sprites/pokemon/other/official-artwork/127.png</t>
  </si>
  <si>
    <t>B115</t>
  </si>
  <si>
    <t>Tauros</t>
  </si>
  <si>
    <t>https://raw.githubusercontent.com/PokeAPI/sprites/master/sprites/pokemon/other/official-artwork/128.png</t>
  </si>
  <si>
    <t>D115</t>
  </si>
  <si>
    <t>Magikarp</t>
  </si>
  <si>
    <t>https://raw.githubusercontent.com/PokeAPI/sprites/master/sprites/pokemon/other/official-artwork/129.png</t>
  </si>
  <si>
    <t>F115</t>
  </si>
  <si>
    <t>Gyarados</t>
  </si>
  <si>
    <t>https://raw.githubusercontent.com/PokeAPI/sprites/master/sprites/pokemon/other/official-artwork/130.png</t>
  </si>
  <si>
    <t>B117</t>
  </si>
  <si>
    <t>Lapras</t>
  </si>
  <si>
    <t>https://raw.githubusercontent.com/PokeAPI/sprites/master/sprites/pokemon/other/official-artwork/131.png</t>
  </si>
  <si>
    <t>D117</t>
  </si>
  <si>
    <t>Ditto</t>
  </si>
  <si>
    <t>https://raw.githubusercontent.com/PokeAPI/sprites/master/sprites/pokemon/other/official-artwork/132.png</t>
  </si>
  <si>
    <t>F117</t>
  </si>
  <si>
    <t>Eevee</t>
  </si>
  <si>
    <t>https://raw.githubusercontent.com/PokeAPI/sprites/master/sprites/pokemon/other/official-artwork/133.png</t>
  </si>
  <si>
    <t>B119</t>
  </si>
  <si>
    <t>Vaporeon</t>
  </si>
  <si>
    <t>https://raw.githubusercontent.com/PokeAPI/sprites/master/sprites/pokemon/other/official-artwork/134.png</t>
  </si>
  <si>
    <t>D119</t>
  </si>
  <si>
    <t>Jolteon</t>
  </si>
  <si>
    <t>https://raw.githubusercontent.com/PokeAPI/sprites/master/sprites/pokemon/other/official-artwork/135.png</t>
  </si>
  <si>
    <t>F119</t>
  </si>
  <si>
    <t>Flareon</t>
  </si>
  <si>
    <t>https://raw.githubusercontent.com/PokeAPI/sprites/master/sprites/pokemon/other/official-artwork/136.png</t>
  </si>
  <si>
    <t>B123</t>
  </si>
  <si>
    <t>Porygon</t>
  </si>
  <si>
    <t>https://raw.githubusercontent.com/PokeAPI/sprites/master/sprites/pokemon/other/official-artwork/137.png</t>
  </si>
  <si>
    <t>D123</t>
  </si>
  <si>
    <t>Omanyte</t>
  </si>
  <si>
    <t>https://raw.githubusercontent.com/PokeAPI/sprites/master/sprites/pokemon/other/official-artwork/138.png</t>
  </si>
  <si>
    <t>F123</t>
  </si>
  <si>
    <t>Omastar</t>
  </si>
  <si>
    <t>https://raw.githubusercontent.com/PokeAPI/sprites/master/sprites/pokemon/other/official-artwork/139.png</t>
  </si>
  <si>
    <t>B125</t>
  </si>
  <si>
    <t>Kabuto</t>
  </si>
  <si>
    <t>https://raw.githubusercontent.com/PokeAPI/sprites/master/sprites/pokemon/other/official-artwork/140.png</t>
  </si>
  <si>
    <t>D125</t>
  </si>
  <si>
    <t>Kabutops</t>
  </si>
  <si>
    <t>https://raw.githubusercontent.com/PokeAPI/sprites/master/sprites/pokemon/other/official-artwork/141.png</t>
  </si>
  <si>
    <t>F125</t>
  </si>
  <si>
    <t>Aerodactyl</t>
  </si>
  <si>
    <t>https://raw.githubusercontent.com/PokeAPI/sprites/master/sprites/pokemon/other/official-artwork/142.png</t>
  </si>
  <si>
    <t>B127</t>
  </si>
  <si>
    <t>Snorlax</t>
  </si>
  <si>
    <t>https://raw.githubusercontent.com/PokeAPI/sprites/master/sprites/pokemon/other/official-artwork/143.png</t>
  </si>
  <si>
    <t>D127</t>
  </si>
  <si>
    <t>Articuno</t>
  </si>
  <si>
    <t>Legendario</t>
  </si>
  <si>
    <t>https://raw.githubusercontent.com/PokeAPI/sprites/master/sprites/pokemon/other/official-artwork/144.png</t>
  </si>
  <si>
    <t>F127</t>
  </si>
  <si>
    <t>Zapdos</t>
  </si>
  <si>
    <t>https://raw.githubusercontent.com/PokeAPI/sprites/master/sprites/pokemon/other/official-artwork/145.png</t>
  </si>
  <si>
    <t>B131</t>
  </si>
  <si>
    <t>Moltres</t>
  </si>
  <si>
    <t>https://raw.githubusercontent.com/PokeAPI/sprites/master/sprites/pokemon/other/official-artwork/146.png</t>
  </si>
  <si>
    <t>D131</t>
  </si>
  <si>
    <t>Dratini</t>
  </si>
  <si>
    <t>Dragón</t>
  </si>
  <si>
    <t>https://raw.githubusercontent.com/PokeAPI/sprites/master/sprites/pokemon/other/official-artwork/147.png</t>
  </si>
  <si>
    <t>F131</t>
  </si>
  <si>
    <t>Dragonair</t>
  </si>
  <si>
    <t>https://raw.githubusercontent.com/PokeAPI/sprites/master/sprites/pokemon/other/official-artwork/148.png</t>
  </si>
  <si>
    <t>B133</t>
  </si>
  <si>
    <t>Dragonite</t>
  </si>
  <si>
    <t>https://raw.githubusercontent.com/PokeAPI/sprites/master/sprites/pokemon/other/official-artwork/149.png</t>
  </si>
  <si>
    <t>D133</t>
  </si>
  <si>
    <t>Mewtwo</t>
  </si>
  <si>
    <t>https://raw.githubusercontent.com/PokeAPI/sprites/master/sprites/pokemon/other/official-artwork/150.png</t>
  </si>
  <si>
    <t>F133</t>
  </si>
  <si>
    <t>Mew</t>
  </si>
  <si>
    <t>https://raw.githubusercontent.com/PokeAPI/sprites/master/sprites/pokemon/other/official-artwork/151.png</t>
  </si>
  <si>
    <t>B135</t>
  </si>
  <si>
    <t>HOJA 1  ·  página 1 de 17</t>
  </si>
  <si>
    <t>HOJA 2  ·  página 2 de 17</t>
  </si>
  <si>
    <t>HOJA 3  ·  página 3 de 17</t>
  </si>
  <si>
    <t>HOJA 4  ·  página 4 de 17</t>
  </si>
  <si>
    <t>HOJA 5  ·  página 5 de 17</t>
  </si>
  <si>
    <t>HOJA 6  ·  página 6 de 17</t>
  </si>
  <si>
    <t>HOJA 7  ·  página 7 de 17</t>
  </si>
  <si>
    <t>HOJA 8  ·  página 8 de 17</t>
  </si>
  <si>
    <t>HOJA 9  ·  página 9 de 17</t>
  </si>
  <si>
    <t>HOJA 10  ·  página 10 de 17</t>
  </si>
  <si>
    <t>HOJA 11  ·  página 11 de 17</t>
  </si>
  <si>
    <t>HOJA 12  ·  página 12 de 17</t>
  </si>
  <si>
    <t>HOJA 13  ·  página 13 de 17</t>
  </si>
  <si>
    <t>HOJA 14  ·  página 14 de 17</t>
  </si>
  <si>
    <t>HOJA 15  ·  página 15 de 17</t>
  </si>
  <si>
    <t>HOJA 16  ·  página 16 de 17</t>
  </si>
  <si>
    <t>HOJA 17  ·  página 17 de 17</t>
  </si>
  <si>
    <t>Saldo de monedas:</t>
  </si>
  <si>
    <t>Costo por sobre:</t>
  </si>
  <si>
    <t>Figuritas por sobre:</t>
  </si>
  <si>
    <t>Figuritas obtenidas:</t>
  </si>
  <si>
    <t>Total de repetidas:</t>
  </si>
  <si>
    <t>Progreso:</t>
  </si>
  <si>
    <t>Tu respuesta:</t>
  </si>
  <si>
    <t>Resultado:</t>
  </si>
  <si>
    <t>Último sobre:</t>
  </si>
  <si>
    <t>Consultando PokeAPI...</t>
  </si>
  <si>
    <t>PS</t>
  </si>
  <si>
    <t>Gana monedas aquí. Presiona 'Ganar monedas'</t>
  </si>
  <si>
    <t>Dartrix</t>
  </si>
  <si>
    <t>Boldore</t>
  </si>
  <si>
    <t>Donaciones Yape al número: 937-671-132</t>
  </si>
  <si>
    <t>Donaciones (No Perú) - Clic aquí ❤️</t>
  </si>
  <si>
    <t>¡Gracias!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</si>
</sst>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2" x14ac:knownFonts="1">
    <font>
      <sz val="11"/>
      <color theme="1"/>
      <name val="Calibri"/>
      <family val="2"/>
      <charset val="1"/>
    </font>
    <font>
      <sz val="11"/>
      <color theme="1"/>
      <name val="Tw Cen MT"/>
      <family val="2"/>
    </font>
    <font>
      <b/>
      <sz val="11"/>
      <color rgb="FF1F3864"/>
      <name val="Tw Cen MT"/>
      <family val="2"/>
    </font>
    <font>
      <b/>
      <sz val="11"/>
      <name val="Tw Cen MT"/>
      <family val="2"/>
    </font>
    <font>
      <b/>
      <sz val="16"/>
      <color rgb="FF1F3864"/>
      <name val="Tw Cen MT"/>
      <family val="2"/>
    </font>
    <font>
      <b/>
      <sz val="11"/>
      <color rgb="FFC0392B"/>
      <name val="Tw Cen MT"/>
      <family val="2"/>
    </font>
    <font>
      <b/>
      <sz val="13"/>
      <color rgb="FFFFFFFF"/>
      <name val="Tw Cen MT"/>
      <family val="2"/>
    </font>
    <font>
      <b/>
      <sz val="9"/>
      <color rgb="FF1F3864"/>
      <name val="Tw Cen MT"/>
      <family val="2"/>
    </font>
    <font>
      <b/>
      <sz val="10"/>
      <color rgb="FFFFFFFF"/>
      <name val="Arial"/>
      <family val="2"/>
    </font>
    <font>
      <sz val="15"/>
      <color theme="1"/>
      <name val="Calibri"/>
      <family val="2"/>
    </font>
    <font>
      <u/>
      <sz val="11"/>
      <color theme="10"/>
      <name val="Calibri"/>
      <family val="2"/>
      <charset val="1"/>
    </font>
    <font>
      <u/>
      <sz val="14"/>
      <color theme="10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C0392B"/>
        <bgColor rgb="FF993366"/>
      </patternFill>
    </fill>
    <fill>
      <patternFill patternType="solid">
        <fgColor rgb="FFFFF2CC"/>
      </patternFill>
    </fill>
    <fill>
      <patternFill patternType="solid">
        <fgColor rgb="FFFFFFFF"/>
      </patternFill>
    </fill>
    <fill>
      <patternFill patternType="solid">
        <fgColor rgb="FFFFF2CC"/>
        <bgColor indexed="64"/>
      </patternFill>
    </fill>
    <fill>
      <patternFill patternType="solid">
        <fgColor theme="7"/>
      </patternFill>
    </fill>
    <fill>
      <patternFill patternType="solid">
        <fgColor theme="7"/>
        <bgColor rgb="FF993366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1" tint="0.34998626667073579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34998626667073579"/>
      </right>
      <top/>
      <bottom/>
      <diagonal/>
    </border>
    <border>
      <left style="medium">
        <color indexed="64"/>
      </left>
      <right style="thin">
        <color theme="1" tint="0.34998626667073579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3" fillId="5" borderId="5" xfId="0" applyFont="1" applyFill="1" applyBorder="1" applyAlignment="1" applyProtection="1">
      <alignment horizontal="right" vertical="center"/>
      <protection locked="0"/>
    </xf>
    <xf numFmtId="0" fontId="5" fillId="3" borderId="2" xfId="0" applyFont="1" applyFill="1" applyBorder="1" applyAlignment="1" applyProtection="1">
      <alignment horizontal="left" vertical="center"/>
      <protection locked="0"/>
    </xf>
    <xf numFmtId="0" fontId="3" fillId="0" borderId="6" xfId="0" applyFont="1" applyBorder="1" applyAlignment="1" applyProtection="1">
      <alignment horizontal="right" vertical="center"/>
      <protection locked="0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6" xfId="0" applyFont="1" applyBorder="1" applyAlignment="1" applyProtection="1">
      <alignment horizontal="right" vertical="center"/>
      <protection locked="0"/>
    </xf>
    <xf numFmtId="164" fontId="1" fillId="0" borderId="3" xfId="0" applyNumberFormat="1" applyFont="1" applyBorder="1" applyAlignment="1" applyProtection="1">
      <alignment horizontal="left" vertical="center"/>
      <protection locked="0"/>
    </xf>
    <xf numFmtId="0" fontId="3" fillId="0" borderId="7" xfId="0" applyFont="1" applyBorder="1" applyAlignment="1" applyProtection="1">
      <alignment horizontal="right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0" fontId="8" fillId="7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8" borderId="0" xfId="0" applyFont="1" applyFill="1" applyAlignment="1">
      <alignment horizontal="center" vertical="center" wrapText="1"/>
    </xf>
    <xf numFmtId="0" fontId="11" fillId="0" borderId="0" xfId="1" applyFont="1" applyAlignment="1">
      <alignment horizontal="center" vertical="center"/>
    </xf>
    <xf numFmtId="0" fontId="6" fillId="2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 applyProtection="1">
      <alignment vertical="center" wrapText="1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1" fillId="0" borderId="0" xfId="0" applyFont="1" applyProtection="1">
      <protection locked="0"/>
    </xf>
    <xf numFmtId="0" fontId="1" fillId="4" borderId="0" xfId="0" applyFont="1" applyFill="1" applyAlignment="1" applyProtection="1">
      <alignment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9999FF"/>
      <rgbColor rgb="FF8E44AD"/>
      <rgbColor rgb="FFFFF2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27AE60"/>
      <rgbColor rgb="FF003300"/>
      <rgbColor rgb="FF333300"/>
      <rgbColor rgb="FFC0392B"/>
      <rgbColor rgb="FF993366"/>
      <rgbColor rgb="FF33339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0/07/relationships/rdRichValueWebImage" Target="richData/rdRichValueWebImage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434340</xdr:colOff>
      <xdr:row>1</xdr:row>
      <xdr:rowOff>464820</xdr:rowOff>
    </xdr:from>
    <xdr:to>
      <xdr:col>4</xdr:col>
      <xdr:colOff>533400</xdr:colOff>
      <xdr:row>12</xdr:row>
      <xdr:rowOff>144780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D1DCA3F-07BB-3FEE-F061-0955F89ED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3940" y="647700"/>
          <a:ext cx="1927860" cy="2011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279400</xdr:colOff>
      <xdr:row>14</xdr:row>
      <xdr:rowOff>82973</xdr:rowOff>
    </xdr:from>
    <xdr:to>
      <xdr:col>4</xdr:col>
      <xdr:colOff>500380</xdr:colOff>
      <xdr:row>24</xdr:row>
      <xdr:rowOff>226906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E22955A-9CCF-B6C5-DAE2-5C9B42E16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003973"/>
          <a:ext cx="2049780" cy="20489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1112520</xdr:colOff>
      <xdr:row>0</xdr:row>
      <xdr:rowOff>0</xdr:rowOff>
    </xdr:from>
    <xdr:to>
      <xdr:col>5</xdr:col>
      <xdr:colOff>952500</xdr:colOff>
      <xdr:row>0</xdr:row>
      <xdr:rowOff>745788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7111538-CADD-46D0-83B5-61F15AB96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7020" y="0"/>
          <a:ext cx="1417320" cy="745788"/>
        </a:xfrm>
        <a:prstGeom prst="rect">
          <a:avLst/>
        </a:prstGeom>
      </xdr:spPr>
    </xdr:pic>
    <xdr:clientData/>
  </xdr:twoCellAnchor>
  <xdr:oneCellAnchor>
    <xdr:from>
      <xdr:col>1</xdr:col>
      <xdr:colOff>335280</xdr:colOff>
      <xdr:row>0</xdr:row>
      <xdr:rowOff>-41824</xdr:rowOff>
    </xdr:from>
    <xdr:ext cx="2251449" cy="8461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835E234-3EF7-8A0F-7D64-DECBD266311F}"/>
            </a:ext>
          </a:extLst>
        </xdr:cNvPr>
        <xdr:cNvSpPr txBox="1"/>
      </xdr:nvSpPr>
      <xdr:spPr>
        <a:xfrm>
          <a:off x="472440" y="-41824"/>
          <a:ext cx="2251449" cy="8461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latin typeface="Tw Cen MT" panose="020B0602020104020603" pitchFamily="34" charset="0"/>
            </a:rPr>
            <a:t>ÁLBUM DE</a:t>
          </a:r>
          <a:r>
            <a:rPr lang="en-US" sz="1800" b="1" baseline="0">
              <a:latin typeface="Tw Cen MT" panose="020B0602020104020603" pitchFamily="34" charset="0"/>
            </a:rPr>
            <a:t> STICKERS </a:t>
          </a:r>
        </a:p>
        <a:p>
          <a:pPr algn="ctr"/>
          <a:r>
            <a:rPr lang="en-US" sz="1800" b="1" baseline="0">
              <a:latin typeface="Tw Cen MT" panose="020B0602020104020603" pitchFamily="34" charset="0"/>
            </a:rPr>
            <a:t>COLECCIONABLES</a:t>
          </a:r>
        </a:p>
        <a:p>
          <a:pPr algn="ctr"/>
          <a:r>
            <a:rPr lang="en-US" sz="1800" b="1" baseline="0">
              <a:latin typeface="Tw Cen MT" panose="020B0602020104020603" pitchFamily="34" charset="0"/>
            </a:rPr>
            <a:t>*KANTO*</a:t>
          </a:r>
          <a:endParaRPr lang="en-US" sz="1800" b="1">
            <a:latin typeface="Tw Cen MT" panose="020B0602020104020603" pitchFamily="34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30480</xdr:colOff>
      <xdr:row>3</xdr:row>
      <xdr:rowOff>1074420</xdr:rowOff>
    </xdr:from>
    <xdr:to>
      <xdr:col>6</xdr:col>
      <xdr:colOff>518160</xdr:colOff>
      <xdr:row>6</xdr:row>
      <xdr:rowOff>0</xdr:rowOff>
    </xdr:to>
    <xdr:sp macro="[0]!PreguntarSta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17B53-356D-1A76-B485-191C992BA04A}"/>
            </a:ext>
          </a:extLst>
        </xdr:cNvPr>
        <xdr:cNvSpPr/>
      </xdr:nvSpPr>
      <xdr:spPr>
        <a:xfrm>
          <a:off x="4922520" y="1790700"/>
          <a:ext cx="1097280" cy="731520"/>
        </a:xfrm>
        <a:prstGeom prst="round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w Cen MT" panose="020B0602020104020603" pitchFamily="34" charset="0"/>
            </a:rPr>
            <a:t>Ganar</a:t>
          </a:r>
        </a:p>
        <a:p>
          <a:pPr algn="ctr"/>
          <a:r>
            <a:rPr lang="en-US" sz="1600" b="1">
              <a:latin typeface="Tw Cen MT" panose="020B0602020104020603" pitchFamily="34" charset="0"/>
            </a:rPr>
            <a:t> monedas</a:t>
          </a:r>
        </a:p>
      </xdr:txBody>
    </xdr:sp>
    <xdr:clientData/>
  </xdr:twoCellAnchor>
  <xdr:twoCellAnchor editAs="absolute">
    <xdr:from>
      <xdr:col>3</xdr:col>
      <xdr:colOff>251460</xdr:colOff>
      <xdr:row>20</xdr:row>
      <xdr:rowOff>0</xdr:rowOff>
    </xdr:from>
    <xdr:to>
      <xdr:col>4</xdr:col>
      <xdr:colOff>1074420</xdr:colOff>
      <xdr:row>24</xdr:row>
      <xdr:rowOff>30480</xdr:rowOff>
    </xdr:to>
    <xdr:sp macro="[0]!AbrirSobr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773CA75-3494-472A-AEAE-6A0EAF83DE14}"/>
            </a:ext>
          </a:extLst>
        </xdr:cNvPr>
        <xdr:cNvSpPr/>
      </xdr:nvSpPr>
      <xdr:spPr>
        <a:xfrm>
          <a:off x="3497580" y="3230880"/>
          <a:ext cx="1097280" cy="731520"/>
        </a:xfrm>
        <a:prstGeom prst="round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w Cen MT" panose="020B0602020104020603" pitchFamily="34" charset="0"/>
            </a:rPr>
            <a:t>Abrir 1 sobre</a:t>
          </a:r>
        </a:p>
      </xdr:txBody>
    </xdr:sp>
    <xdr:clientData/>
  </xdr:twoCellAnchor>
  <xdr:twoCellAnchor editAs="oneCell">
    <xdr:from>
      <xdr:col>5</xdr:col>
      <xdr:colOff>205740</xdr:colOff>
      <xdr:row>22</xdr:row>
      <xdr:rowOff>168612</xdr:rowOff>
    </xdr:from>
    <xdr:to>
      <xdr:col>7</xdr:col>
      <xdr:colOff>403860</xdr:colOff>
      <xdr:row>27</xdr:row>
      <xdr:rowOff>30480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A61878A-DE7A-B952-B274-0F9EC2578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780" y="3750012"/>
          <a:ext cx="1417320" cy="745788"/>
        </a:xfrm>
        <a:prstGeom prst="rect">
          <a:avLst/>
        </a:prstGeom>
      </xdr:spPr>
    </xdr:pic>
    <xdr:clientData/>
  </xdr:twoCellAnchor>
  <xdr:twoCellAnchor editAs="absolute">
    <xdr:from>
      <xdr:col>3</xdr:col>
      <xdr:colOff>251460</xdr:colOff>
      <xdr:row>25</xdr:row>
      <xdr:rowOff>76200</xdr:rowOff>
    </xdr:from>
    <xdr:to>
      <xdr:col>4</xdr:col>
      <xdr:colOff>1074420</xdr:colOff>
      <xdr:row>26</xdr:row>
      <xdr:rowOff>167640</xdr:rowOff>
    </xdr:to>
    <xdr:sp macro="[0]!ReiniciarAlbu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FA20C0C-F360-4A49-9DD5-86029D774E57}"/>
            </a:ext>
          </a:extLst>
        </xdr:cNvPr>
        <xdr:cNvSpPr/>
      </xdr:nvSpPr>
      <xdr:spPr>
        <a:xfrm>
          <a:off x="3497580" y="4183380"/>
          <a:ext cx="1097280" cy="27432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>
              <a:latin typeface="Tw Cen MT" panose="020B0602020104020603" pitchFamily="34" charset="0"/>
            </a:rPr>
            <a:t>Resetear</a:t>
          </a:r>
          <a:r>
            <a:rPr lang="en-US" sz="1000" b="1" baseline="0">
              <a:latin typeface="Tw Cen MT" panose="020B0602020104020603" pitchFamily="34" charset="0"/>
            </a:rPr>
            <a:t> álbum 💀</a:t>
          </a:r>
          <a:endParaRPr lang="en-US" sz="1000" b="1">
            <a:latin typeface="Tw Cen MT" panose="020B0602020104020603" pitchFamily="34" charset="0"/>
          </a:endParaRPr>
        </a:p>
      </xdr:txBody>
    </xdr:sp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raw.githubusercontent.com/PokeAPI/sprites/master/sprites/items/poke-ball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51">
  <rv s="0">
    <v>0</v>
    <v>1</v>
    <v>0</v>
    <v>0</v>
    <v>Sticker 1</v>
  </rv>
  <rv s="0">
    <v>0</v>
    <v>1</v>
    <v>0</v>
    <v>0</v>
    <v>Sticker 2</v>
  </rv>
  <rv s="0">
    <v>0</v>
    <v>1</v>
    <v>0</v>
    <v>0</v>
    <v>Sticker 3</v>
  </rv>
  <rv s="0">
    <v>0</v>
    <v>1</v>
    <v>0</v>
    <v>0</v>
    <v>Sticker 4</v>
  </rv>
  <rv s="0">
    <v>0</v>
    <v>1</v>
    <v>0</v>
    <v>0</v>
    <v>Sticker 5</v>
  </rv>
  <rv s="0">
    <v>0</v>
    <v>1</v>
    <v>0</v>
    <v>0</v>
    <v>Sticker 6</v>
  </rv>
  <rv s="0">
    <v>0</v>
    <v>1</v>
    <v>0</v>
    <v>0</v>
    <v>Sticker 7</v>
  </rv>
  <rv s="0">
    <v>0</v>
    <v>1</v>
    <v>0</v>
    <v>0</v>
    <v>Sticker 8</v>
  </rv>
  <rv s="0">
    <v>0</v>
    <v>1</v>
    <v>0</v>
    <v>0</v>
    <v>Sticker 9</v>
  </rv>
  <rv s="0">
    <v>0</v>
    <v>1</v>
    <v>0</v>
    <v>0</v>
    <v>Sticker 10</v>
  </rv>
  <rv s="0">
    <v>0</v>
    <v>1</v>
    <v>0</v>
    <v>0</v>
    <v>Sticker 11</v>
  </rv>
  <rv s="0">
    <v>0</v>
    <v>1</v>
    <v>0</v>
    <v>0</v>
    <v>Sticker 12</v>
  </rv>
  <rv s="0">
    <v>0</v>
    <v>1</v>
    <v>0</v>
    <v>0</v>
    <v>Sticker 13</v>
  </rv>
  <rv s="0">
    <v>0</v>
    <v>1</v>
    <v>0</v>
    <v>0</v>
    <v>Sticker 14</v>
  </rv>
  <rv s="0">
    <v>0</v>
    <v>1</v>
    <v>0</v>
    <v>0</v>
    <v>Sticker 15</v>
  </rv>
  <rv s="0">
    <v>0</v>
    <v>1</v>
    <v>0</v>
    <v>0</v>
    <v>Sticker 16</v>
  </rv>
  <rv s="0">
    <v>0</v>
    <v>1</v>
    <v>0</v>
    <v>0</v>
    <v>Sticker 17</v>
  </rv>
  <rv s="0">
    <v>0</v>
    <v>1</v>
    <v>0</v>
    <v>0</v>
    <v>Sticker 18</v>
  </rv>
  <rv s="0">
    <v>0</v>
    <v>1</v>
    <v>0</v>
    <v>0</v>
    <v>Sticker 19</v>
  </rv>
  <rv s="0">
    <v>0</v>
    <v>1</v>
    <v>0</v>
    <v>0</v>
    <v>Sticker 20</v>
  </rv>
  <rv s="0">
    <v>0</v>
    <v>1</v>
    <v>0</v>
    <v>0</v>
    <v>Sticker 21</v>
  </rv>
  <rv s="0">
    <v>0</v>
    <v>1</v>
    <v>0</v>
    <v>0</v>
    <v>Sticker 22</v>
  </rv>
  <rv s="0">
    <v>0</v>
    <v>1</v>
    <v>0</v>
    <v>0</v>
    <v>Sticker 23</v>
  </rv>
  <rv s="0">
    <v>0</v>
    <v>1</v>
    <v>0</v>
    <v>0</v>
    <v>Sticker 24</v>
  </rv>
  <rv s="0">
    <v>0</v>
    <v>1</v>
    <v>0</v>
    <v>0</v>
    <v>Sticker 25</v>
  </rv>
  <rv s="0">
    <v>0</v>
    <v>1</v>
    <v>0</v>
    <v>0</v>
    <v>Sticker 26</v>
  </rv>
  <rv s="0">
    <v>0</v>
    <v>1</v>
    <v>0</v>
    <v>0</v>
    <v>Sticker 27</v>
  </rv>
  <rv s="0">
    <v>0</v>
    <v>1</v>
    <v>0</v>
    <v>0</v>
    <v>Sticker 28</v>
  </rv>
  <rv s="0">
    <v>0</v>
    <v>1</v>
    <v>0</v>
    <v>0</v>
    <v>Sticker 29</v>
  </rv>
  <rv s="0">
    <v>0</v>
    <v>1</v>
    <v>0</v>
    <v>0</v>
    <v>Sticker 30</v>
  </rv>
  <rv s="0">
    <v>0</v>
    <v>1</v>
    <v>0</v>
    <v>0</v>
    <v>Sticker 31</v>
  </rv>
  <rv s="0">
    <v>0</v>
    <v>1</v>
    <v>0</v>
    <v>0</v>
    <v>Sticker 32</v>
  </rv>
  <rv s="0">
    <v>0</v>
    <v>1</v>
    <v>0</v>
    <v>0</v>
    <v>Sticker 33</v>
  </rv>
  <rv s="0">
    <v>0</v>
    <v>1</v>
    <v>0</v>
    <v>0</v>
    <v>Sticker 34</v>
  </rv>
  <rv s="0">
    <v>0</v>
    <v>1</v>
    <v>0</v>
    <v>0</v>
    <v>Sticker 35</v>
  </rv>
  <rv s="0">
    <v>0</v>
    <v>1</v>
    <v>0</v>
    <v>0</v>
    <v>Sticker 36</v>
  </rv>
  <rv s="0">
    <v>0</v>
    <v>1</v>
    <v>0</v>
    <v>0</v>
    <v>Sticker 37</v>
  </rv>
  <rv s="0">
    <v>0</v>
    <v>1</v>
    <v>0</v>
    <v>0</v>
    <v>Sticker 38</v>
  </rv>
  <rv s="0">
    <v>0</v>
    <v>1</v>
    <v>0</v>
    <v>0</v>
    <v>Sticker 39</v>
  </rv>
  <rv s="0">
    <v>0</v>
    <v>1</v>
    <v>0</v>
    <v>0</v>
    <v>Sticker 40</v>
  </rv>
  <rv s="0">
    <v>0</v>
    <v>1</v>
    <v>0</v>
    <v>0</v>
    <v>Sticker 41</v>
  </rv>
  <rv s="0">
    <v>0</v>
    <v>1</v>
    <v>0</v>
    <v>0</v>
    <v>Sticker 42</v>
  </rv>
  <rv s="0">
    <v>0</v>
    <v>1</v>
    <v>0</v>
    <v>0</v>
    <v>Sticker 43</v>
  </rv>
  <rv s="0">
    <v>0</v>
    <v>1</v>
    <v>0</v>
    <v>0</v>
    <v>Sticker 44</v>
  </rv>
  <rv s="0">
    <v>0</v>
    <v>1</v>
    <v>0</v>
    <v>0</v>
    <v>Sticker 45</v>
  </rv>
  <rv s="0">
    <v>0</v>
    <v>1</v>
    <v>0</v>
    <v>0</v>
    <v>Sticker 46</v>
  </rv>
  <rv s="0">
    <v>0</v>
    <v>1</v>
    <v>0</v>
    <v>0</v>
    <v>Sticker 47</v>
  </rv>
  <rv s="0">
    <v>0</v>
    <v>1</v>
    <v>0</v>
    <v>0</v>
    <v>Sticker 48</v>
  </rv>
  <rv s="0">
    <v>0</v>
    <v>1</v>
    <v>0</v>
    <v>0</v>
    <v>Sticker 49</v>
  </rv>
  <rv s="0">
    <v>0</v>
    <v>1</v>
    <v>0</v>
    <v>0</v>
    <v>Sticker 50</v>
  </rv>
  <rv s="0">
    <v>0</v>
    <v>1</v>
    <v>0</v>
    <v>0</v>
    <v>Sticker 51</v>
  </rv>
  <rv s="0">
    <v>0</v>
    <v>1</v>
    <v>0</v>
    <v>0</v>
    <v>Sticker 52</v>
  </rv>
  <rv s="0">
    <v>0</v>
    <v>1</v>
    <v>0</v>
    <v>0</v>
    <v>Sticker 53</v>
  </rv>
  <rv s="0">
    <v>0</v>
    <v>1</v>
    <v>0</v>
    <v>0</v>
    <v>Sticker 54</v>
  </rv>
  <rv s="0">
    <v>0</v>
    <v>1</v>
    <v>0</v>
    <v>0</v>
    <v>Sticker 55</v>
  </rv>
  <rv s="0">
    <v>0</v>
    <v>1</v>
    <v>0</v>
    <v>0</v>
    <v>Sticker 56</v>
  </rv>
  <rv s="0">
    <v>0</v>
    <v>1</v>
    <v>0</v>
    <v>0</v>
    <v>Sticker 57</v>
  </rv>
  <rv s="0">
    <v>0</v>
    <v>1</v>
    <v>0</v>
    <v>0</v>
    <v>Sticker 58</v>
  </rv>
  <rv s="0">
    <v>0</v>
    <v>1</v>
    <v>0</v>
    <v>0</v>
    <v>Sticker 59</v>
  </rv>
  <rv s="0">
    <v>0</v>
    <v>1</v>
    <v>0</v>
    <v>0</v>
    <v>Sticker 60</v>
  </rv>
  <rv s="0">
    <v>0</v>
    <v>1</v>
    <v>0</v>
    <v>0</v>
    <v>Sticker 61</v>
  </rv>
  <rv s="0">
    <v>0</v>
    <v>1</v>
    <v>0</v>
    <v>0</v>
    <v>Sticker 62</v>
  </rv>
  <rv s="0">
    <v>0</v>
    <v>1</v>
    <v>0</v>
    <v>0</v>
    <v>Sticker 63</v>
  </rv>
  <rv s="0">
    <v>0</v>
    <v>1</v>
    <v>0</v>
    <v>0</v>
    <v>Sticker 64</v>
  </rv>
  <rv s="0">
    <v>0</v>
    <v>1</v>
    <v>0</v>
    <v>0</v>
    <v>Sticker 65</v>
  </rv>
  <rv s="0">
    <v>0</v>
    <v>1</v>
    <v>0</v>
    <v>0</v>
    <v>Sticker 66</v>
  </rv>
  <rv s="0">
    <v>0</v>
    <v>1</v>
    <v>0</v>
    <v>0</v>
    <v>Sticker 67</v>
  </rv>
  <rv s="0">
    <v>0</v>
    <v>1</v>
    <v>0</v>
    <v>0</v>
    <v>Sticker 68</v>
  </rv>
  <rv s="0">
    <v>0</v>
    <v>1</v>
    <v>0</v>
    <v>0</v>
    <v>Sticker 69</v>
  </rv>
  <rv s="0">
    <v>0</v>
    <v>1</v>
    <v>0</v>
    <v>0</v>
    <v>Sticker 70</v>
  </rv>
  <rv s="0">
    <v>0</v>
    <v>1</v>
    <v>0</v>
    <v>0</v>
    <v>Sticker 71</v>
  </rv>
  <rv s="0">
    <v>0</v>
    <v>1</v>
    <v>0</v>
    <v>0</v>
    <v>Sticker 72</v>
  </rv>
  <rv s="0">
    <v>0</v>
    <v>1</v>
    <v>0</v>
    <v>0</v>
    <v>Sticker 73</v>
  </rv>
  <rv s="0">
    <v>0</v>
    <v>1</v>
    <v>0</v>
    <v>0</v>
    <v>Sticker 74</v>
  </rv>
  <rv s="0">
    <v>0</v>
    <v>1</v>
    <v>0</v>
    <v>0</v>
    <v>Sticker 75</v>
  </rv>
  <rv s="0">
    <v>0</v>
    <v>1</v>
    <v>0</v>
    <v>0</v>
    <v>Sticker 76</v>
  </rv>
  <rv s="0">
    <v>0</v>
    <v>1</v>
    <v>0</v>
    <v>0</v>
    <v>Sticker 77</v>
  </rv>
  <rv s="0">
    <v>0</v>
    <v>1</v>
    <v>0</v>
    <v>0</v>
    <v>Sticker 78</v>
  </rv>
  <rv s="0">
    <v>0</v>
    <v>1</v>
    <v>0</v>
    <v>0</v>
    <v>Sticker 79</v>
  </rv>
  <rv s="0">
    <v>0</v>
    <v>1</v>
    <v>0</v>
    <v>0</v>
    <v>Sticker 80</v>
  </rv>
  <rv s="0">
    <v>0</v>
    <v>1</v>
    <v>0</v>
    <v>0</v>
    <v>Sticker 81</v>
  </rv>
  <rv s="0">
    <v>0</v>
    <v>1</v>
    <v>0</v>
    <v>0</v>
    <v>Sticker 82</v>
  </rv>
  <rv s="0">
    <v>0</v>
    <v>1</v>
    <v>0</v>
    <v>0</v>
    <v>Sticker 83</v>
  </rv>
  <rv s="0">
    <v>0</v>
    <v>1</v>
    <v>0</v>
    <v>0</v>
    <v>Sticker 84</v>
  </rv>
  <rv s="0">
    <v>0</v>
    <v>1</v>
    <v>0</v>
    <v>0</v>
    <v>Sticker 85</v>
  </rv>
  <rv s="0">
    <v>0</v>
    <v>1</v>
    <v>0</v>
    <v>0</v>
    <v>Sticker 86</v>
  </rv>
  <rv s="0">
    <v>0</v>
    <v>1</v>
    <v>0</v>
    <v>0</v>
    <v>Sticker 87</v>
  </rv>
  <rv s="0">
    <v>0</v>
    <v>1</v>
    <v>0</v>
    <v>0</v>
    <v>Sticker 88</v>
  </rv>
  <rv s="0">
    <v>0</v>
    <v>1</v>
    <v>0</v>
    <v>0</v>
    <v>Sticker 89</v>
  </rv>
  <rv s="0">
    <v>0</v>
    <v>1</v>
    <v>0</v>
    <v>0</v>
    <v>Sticker 90</v>
  </rv>
  <rv s="0">
    <v>0</v>
    <v>1</v>
    <v>0</v>
    <v>0</v>
    <v>Sticker 91</v>
  </rv>
  <rv s="0">
    <v>0</v>
    <v>1</v>
    <v>0</v>
    <v>0</v>
    <v>Sticker 92</v>
  </rv>
  <rv s="0">
    <v>0</v>
    <v>1</v>
    <v>0</v>
    <v>0</v>
    <v>Sticker 93</v>
  </rv>
  <rv s="0">
    <v>0</v>
    <v>1</v>
    <v>0</v>
    <v>0</v>
    <v>Sticker 94</v>
  </rv>
  <rv s="0">
    <v>0</v>
    <v>1</v>
    <v>0</v>
    <v>0</v>
    <v>Sticker 95</v>
  </rv>
  <rv s="0">
    <v>0</v>
    <v>1</v>
    <v>0</v>
    <v>0</v>
    <v>Sticker 96</v>
  </rv>
  <rv s="0">
    <v>0</v>
    <v>1</v>
    <v>0</v>
    <v>0</v>
    <v>Sticker 97</v>
  </rv>
  <rv s="0">
    <v>0</v>
    <v>1</v>
    <v>0</v>
    <v>0</v>
    <v>Sticker 98</v>
  </rv>
  <rv s="0">
    <v>0</v>
    <v>1</v>
    <v>0</v>
    <v>0</v>
    <v>Sticker 99</v>
  </rv>
  <rv s="0">
    <v>0</v>
    <v>1</v>
    <v>0</v>
    <v>0</v>
    <v>Sticker 100</v>
  </rv>
  <rv s="0">
    <v>0</v>
    <v>1</v>
    <v>0</v>
    <v>0</v>
    <v>Sticker 101</v>
  </rv>
  <rv s="0">
    <v>0</v>
    <v>1</v>
    <v>0</v>
    <v>0</v>
    <v>Sticker 102</v>
  </rv>
  <rv s="0">
    <v>0</v>
    <v>1</v>
    <v>0</v>
    <v>0</v>
    <v>Sticker 103</v>
  </rv>
  <rv s="0">
    <v>0</v>
    <v>1</v>
    <v>0</v>
    <v>0</v>
    <v>Sticker 104</v>
  </rv>
  <rv s="0">
    <v>0</v>
    <v>1</v>
    <v>0</v>
    <v>0</v>
    <v>Sticker 105</v>
  </rv>
  <rv s="0">
    <v>0</v>
    <v>1</v>
    <v>0</v>
    <v>0</v>
    <v>Sticker 106</v>
  </rv>
  <rv s="0">
    <v>0</v>
    <v>1</v>
    <v>0</v>
    <v>0</v>
    <v>Sticker 107</v>
  </rv>
  <rv s="0">
    <v>0</v>
    <v>1</v>
    <v>0</v>
    <v>0</v>
    <v>Sticker 108</v>
  </rv>
  <rv s="0">
    <v>0</v>
    <v>1</v>
    <v>0</v>
    <v>0</v>
    <v>Sticker 109</v>
  </rv>
  <rv s="0">
    <v>0</v>
    <v>1</v>
    <v>0</v>
    <v>0</v>
    <v>Sticker 110</v>
  </rv>
  <rv s="0">
    <v>0</v>
    <v>1</v>
    <v>0</v>
    <v>0</v>
    <v>Sticker 111</v>
  </rv>
  <rv s="0">
    <v>0</v>
    <v>1</v>
    <v>0</v>
    <v>0</v>
    <v>Sticker 112</v>
  </rv>
  <rv s="0">
    <v>0</v>
    <v>1</v>
    <v>0</v>
    <v>0</v>
    <v>Sticker 113</v>
  </rv>
  <rv s="0">
    <v>0</v>
    <v>1</v>
    <v>0</v>
    <v>0</v>
    <v>Sticker 114</v>
  </rv>
  <rv s="0">
    <v>0</v>
    <v>1</v>
    <v>0</v>
    <v>0</v>
    <v>Sticker 115</v>
  </rv>
  <rv s="0">
    <v>0</v>
    <v>1</v>
    <v>0</v>
    <v>0</v>
    <v>Sticker 116</v>
  </rv>
  <rv s="0">
    <v>0</v>
    <v>1</v>
    <v>0</v>
    <v>0</v>
    <v>Sticker 117</v>
  </rv>
  <rv s="0">
    <v>0</v>
    <v>1</v>
    <v>0</v>
    <v>0</v>
    <v>Sticker 118</v>
  </rv>
  <rv s="0">
    <v>0</v>
    <v>1</v>
    <v>0</v>
    <v>0</v>
    <v>Sticker 119</v>
  </rv>
  <rv s="0">
    <v>0</v>
    <v>1</v>
    <v>0</v>
    <v>0</v>
    <v>Sticker 120</v>
  </rv>
  <rv s="0">
    <v>0</v>
    <v>1</v>
    <v>0</v>
    <v>0</v>
    <v>Sticker 121</v>
  </rv>
  <rv s="0">
    <v>0</v>
    <v>1</v>
    <v>0</v>
    <v>0</v>
    <v>Sticker 122</v>
  </rv>
  <rv s="0">
    <v>0</v>
    <v>1</v>
    <v>0</v>
    <v>0</v>
    <v>Sticker 123</v>
  </rv>
  <rv s="0">
    <v>0</v>
    <v>1</v>
    <v>0</v>
    <v>0</v>
    <v>Sticker 124</v>
  </rv>
  <rv s="0">
    <v>0</v>
    <v>1</v>
    <v>0</v>
    <v>0</v>
    <v>Sticker 125</v>
  </rv>
  <rv s="0">
    <v>0</v>
    <v>1</v>
    <v>0</v>
    <v>0</v>
    <v>Sticker 126</v>
  </rv>
  <rv s="0">
    <v>0</v>
    <v>1</v>
    <v>0</v>
    <v>0</v>
    <v>Sticker 127</v>
  </rv>
  <rv s="0">
    <v>0</v>
    <v>1</v>
    <v>0</v>
    <v>0</v>
    <v>Sticker 128</v>
  </rv>
  <rv s="0">
    <v>0</v>
    <v>1</v>
    <v>0</v>
    <v>0</v>
    <v>Sticker 129</v>
  </rv>
  <rv s="0">
    <v>0</v>
    <v>1</v>
    <v>0</v>
    <v>0</v>
    <v>Sticker 130</v>
  </rv>
  <rv s="0">
    <v>0</v>
    <v>1</v>
    <v>0</v>
    <v>0</v>
    <v>Sticker 131</v>
  </rv>
  <rv s="0">
    <v>0</v>
    <v>1</v>
    <v>0</v>
    <v>0</v>
    <v>Sticker 132</v>
  </rv>
  <rv s="0">
    <v>0</v>
    <v>1</v>
    <v>0</v>
    <v>0</v>
    <v>Sticker 133</v>
  </rv>
  <rv s="0">
    <v>0</v>
    <v>1</v>
    <v>0</v>
    <v>0</v>
    <v>Sticker 134</v>
  </rv>
  <rv s="0">
    <v>0</v>
    <v>1</v>
    <v>0</v>
    <v>0</v>
    <v>Sticker 135</v>
  </rv>
  <rv s="0">
    <v>0</v>
    <v>1</v>
    <v>0</v>
    <v>0</v>
    <v>Sticker 136</v>
  </rv>
  <rv s="0">
    <v>0</v>
    <v>1</v>
    <v>0</v>
    <v>0</v>
    <v>Sticker 137</v>
  </rv>
  <rv s="0">
    <v>0</v>
    <v>1</v>
    <v>0</v>
    <v>0</v>
    <v>Sticker 138</v>
  </rv>
  <rv s="0">
    <v>0</v>
    <v>1</v>
    <v>0</v>
    <v>0</v>
    <v>Sticker 139</v>
  </rv>
  <rv s="0">
    <v>0</v>
    <v>1</v>
    <v>0</v>
    <v>0</v>
    <v>Sticker 140</v>
  </rv>
  <rv s="0">
    <v>0</v>
    <v>1</v>
    <v>0</v>
    <v>0</v>
    <v>Sticker 141</v>
  </rv>
  <rv s="0">
    <v>0</v>
    <v>1</v>
    <v>0</v>
    <v>0</v>
    <v>Sticker 142</v>
  </rv>
  <rv s="0">
    <v>0</v>
    <v>1</v>
    <v>0</v>
    <v>0</v>
    <v>Sticker 143</v>
  </rv>
  <rv s="0">
    <v>0</v>
    <v>1</v>
    <v>0</v>
    <v>0</v>
    <v>Sticker 144</v>
  </rv>
  <rv s="0">
    <v>0</v>
    <v>1</v>
    <v>0</v>
    <v>0</v>
    <v>Sticker 145</v>
  </rv>
  <rv s="0">
    <v>0</v>
    <v>1</v>
    <v>0</v>
    <v>0</v>
    <v>Sticker 146</v>
  </rv>
  <rv s="0">
    <v>0</v>
    <v>1</v>
    <v>0</v>
    <v>0</v>
    <v>Sticker 147</v>
  </rv>
  <rv s="0">
    <v>0</v>
    <v>1</v>
    <v>0</v>
    <v>0</v>
    <v>Sticker 148</v>
  </rv>
  <rv s="0">
    <v>0</v>
    <v>1</v>
    <v>0</v>
    <v>0</v>
    <v>Sticker 149</v>
  </rv>
  <rv s="0">
    <v>0</v>
    <v>1</v>
    <v>0</v>
    <v>0</v>
    <v>Sticker 150</v>
  </rv>
  <rv s="0">
    <v>0</v>
    <v>1</v>
    <v>0</v>
    <v>0</v>
    <v>Sticker 151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streamlabs.com/entredittos/tip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52"/>
  <sheetViews>
    <sheetView zoomScaleNormal="100" workbookViewId="0">
      <pane ySplit="1" topLeftCell="A2" activePane="bottomLeft" state="frozen"/>
      <selection activeCell="G12" sqref="G12"/>
      <selection pane="bottomLeft" activeCell="G1" sqref="G1"/>
    </sheetView>
  </sheetViews>
  <sheetFormatPr defaultColWidth="8.6640625" defaultRowHeight="14.4" x14ac:dyDescent="0.3"/>
  <cols>
    <col min="1" max="1" width="6" style="19" customWidth="1"/>
    <col min="2" max="2" width="16" style="20" customWidth="1"/>
    <col min="3" max="4" width="12" style="20" customWidth="1"/>
    <col min="5" max="5" width="8" style="19" customWidth="1"/>
    <col min="6" max="6" width="10" style="19" customWidth="1"/>
    <col min="7" max="7" width="11" style="19" customWidth="1"/>
    <col min="8" max="8" width="55" style="20" customWidth="1"/>
    <col min="9" max="9" width="45" style="20" customWidth="1"/>
    <col min="10" max="10" width="12" style="19" customWidth="1"/>
    <col min="11" max="11" width="8.6640625" style="19"/>
    <col min="12" max="16384" width="8.6640625" style="20"/>
  </cols>
  <sheetData>
    <row r="1" spans="1:11" ht="15" customHeight="1" x14ac:dyDescent="0.3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8" t="s">
        <v>9</v>
      </c>
      <c r="K1" s="19">
        <v>723</v>
      </c>
    </row>
    <row r="2" spans="1:11" ht="15" customHeight="1" x14ac:dyDescent="0.3">
      <c r="A2" s="19">
        <v>1</v>
      </c>
      <c r="B2" s="20" t="s">
        <v>10</v>
      </c>
      <c r="C2" s="20" t="s">
        <v>11</v>
      </c>
      <c r="D2" s="20" t="s">
        <v>12</v>
      </c>
      <c r="E2" s="19">
        <v>70</v>
      </c>
      <c r="F2" s="19" t="b">
        <v>0</v>
      </c>
      <c r="G2" s="19">
        <v>0</v>
      </c>
      <c r="H2" s="20" t="s">
        <v>13</v>
      </c>
      <c r="I2" s="20" t="s">
        <v>14</v>
      </c>
      <c r="J2" s="19" t="s">
        <v>15</v>
      </c>
      <c r="K2" s="19">
        <v>525</v>
      </c>
    </row>
    <row r="3" spans="1:11" ht="15" customHeight="1" x14ac:dyDescent="0.3">
      <c r="A3" s="19">
        <v>2</v>
      </c>
      <c r="B3" s="20" t="s">
        <v>16</v>
      </c>
      <c r="C3" s="20" t="s">
        <v>11</v>
      </c>
      <c r="D3" s="20" t="s">
        <v>17</v>
      </c>
      <c r="E3" s="19">
        <v>25</v>
      </c>
      <c r="F3" s="19" t="b">
        <v>0</v>
      </c>
      <c r="G3" s="19">
        <v>0</v>
      </c>
      <c r="H3" s="20" t="s">
        <v>18</v>
      </c>
      <c r="I3" s="20" t="s">
        <v>14</v>
      </c>
      <c r="J3" s="19" t="s">
        <v>19</v>
      </c>
      <c r="K3" s="19" t="s">
        <v>512</v>
      </c>
    </row>
    <row r="4" spans="1:11" ht="15" customHeight="1" x14ac:dyDescent="0.3">
      <c r="A4" s="19">
        <v>3</v>
      </c>
      <c r="B4" s="20" t="s">
        <v>20</v>
      </c>
      <c r="C4" s="20" t="s">
        <v>11</v>
      </c>
      <c r="D4" s="20" t="s">
        <v>21</v>
      </c>
      <c r="E4" s="19">
        <v>8</v>
      </c>
      <c r="F4" s="19" t="b">
        <v>0</v>
      </c>
      <c r="G4" s="19">
        <v>0</v>
      </c>
      <c r="H4" s="20" t="s">
        <v>22</v>
      </c>
      <c r="I4" s="20" t="s">
        <v>14</v>
      </c>
      <c r="J4" s="19" t="s">
        <v>23</v>
      </c>
      <c r="K4" s="19" t="s">
        <v>513</v>
      </c>
    </row>
    <row r="5" spans="1:11" ht="15" customHeight="1" x14ac:dyDescent="0.3">
      <c r="A5" s="19">
        <v>4</v>
      </c>
      <c r="B5" s="20" t="s">
        <v>24</v>
      </c>
      <c r="C5" s="20" t="s">
        <v>25</v>
      </c>
      <c r="D5" s="20" t="s">
        <v>12</v>
      </c>
      <c r="E5" s="19">
        <v>70</v>
      </c>
      <c r="F5" s="19" t="b">
        <v>0</v>
      </c>
      <c r="G5" s="19">
        <v>0</v>
      </c>
      <c r="H5" s="20" t="s">
        <v>26</v>
      </c>
      <c r="I5" s="20" t="s">
        <v>14</v>
      </c>
      <c r="J5" s="19" t="s">
        <v>27</v>
      </c>
      <c r="K5" s="19">
        <v>78</v>
      </c>
    </row>
    <row r="6" spans="1:11" ht="15" customHeight="1" x14ac:dyDescent="0.3">
      <c r="A6" s="19">
        <v>5</v>
      </c>
      <c r="B6" s="20" t="s">
        <v>28</v>
      </c>
      <c r="C6" s="20" t="s">
        <v>25</v>
      </c>
      <c r="D6" s="20" t="s">
        <v>17</v>
      </c>
      <c r="E6" s="19">
        <v>25</v>
      </c>
      <c r="F6" s="19" t="b">
        <v>0</v>
      </c>
      <c r="G6" s="19">
        <v>0</v>
      </c>
      <c r="H6" s="20" t="s">
        <v>29</v>
      </c>
      <c r="I6" s="20" t="s">
        <v>14</v>
      </c>
      <c r="J6" s="19" t="s">
        <v>30</v>
      </c>
      <c r="K6" s="19">
        <v>70</v>
      </c>
    </row>
    <row r="7" spans="1:11" ht="15" customHeight="1" x14ac:dyDescent="0.3">
      <c r="A7" s="19">
        <v>6</v>
      </c>
      <c r="B7" s="20" t="s">
        <v>31</v>
      </c>
      <c r="C7" s="20" t="s">
        <v>25</v>
      </c>
      <c r="D7" s="20" t="s">
        <v>21</v>
      </c>
      <c r="E7" s="19">
        <v>8</v>
      </c>
      <c r="F7" s="19" t="b">
        <v>0</v>
      </c>
      <c r="G7" s="19">
        <v>0</v>
      </c>
      <c r="H7" s="20" t="s">
        <v>32</v>
      </c>
      <c r="I7" s="20" t="s">
        <v>14</v>
      </c>
      <c r="J7" s="19" t="s">
        <v>33</v>
      </c>
      <c r="K7" s="19" t="s">
        <v>510</v>
      </c>
    </row>
    <row r="8" spans="1:11" ht="15" customHeight="1" x14ac:dyDescent="0.3">
      <c r="A8" s="19">
        <v>7</v>
      </c>
      <c r="B8" s="20" t="s">
        <v>34</v>
      </c>
      <c r="C8" s="20" t="s">
        <v>35</v>
      </c>
      <c r="D8" s="20" t="s">
        <v>12</v>
      </c>
      <c r="E8" s="19">
        <v>70</v>
      </c>
      <c r="F8" s="19" t="b">
        <v>0</v>
      </c>
      <c r="G8" s="19">
        <v>0</v>
      </c>
      <c r="H8" s="20" t="s">
        <v>36</v>
      </c>
      <c r="I8" s="20" t="s">
        <v>14</v>
      </c>
      <c r="J8" s="19" t="s">
        <v>37</v>
      </c>
      <c r="K8" s="19" t="s">
        <v>512</v>
      </c>
    </row>
    <row r="9" spans="1:11" ht="15" customHeight="1" x14ac:dyDescent="0.3">
      <c r="A9" s="19">
        <v>8</v>
      </c>
      <c r="B9" s="20" t="s">
        <v>38</v>
      </c>
      <c r="C9" s="20" t="s">
        <v>35</v>
      </c>
      <c r="D9" s="20" t="s">
        <v>17</v>
      </c>
      <c r="E9" s="19">
        <v>25</v>
      </c>
      <c r="F9" s="19" t="b">
        <v>0</v>
      </c>
      <c r="G9" s="19">
        <v>0</v>
      </c>
      <c r="H9" s="20" t="s">
        <v>39</v>
      </c>
      <c r="I9" s="20" t="s">
        <v>14</v>
      </c>
      <c r="J9" s="19" t="s">
        <v>40</v>
      </c>
      <c r="K9" s="19">
        <v>78</v>
      </c>
    </row>
    <row r="10" spans="1:11" ht="15" customHeight="1" x14ac:dyDescent="0.3">
      <c r="A10" s="19">
        <v>9</v>
      </c>
      <c r="B10" s="20" t="s">
        <v>41</v>
      </c>
      <c r="C10" s="20" t="s">
        <v>35</v>
      </c>
      <c r="D10" s="20" t="s">
        <v>21</v>
      </c>
      <c r="E10" s="19">
        <v>8</v>
      </c>
      <c r="F10" s="19" t="b">
        <v>0</v>
      </c>
      <c r="G10" s="19">
        <v>0</v>
      </c>
      <c r="H10" s="20" t="s">
        <v>42</v>
      </c>
      <c r="I10" s="20" t="s">
        <v>14</v>
      </c>
      <c r="J10" s="19" t="s">
        <v>43</v>
      </c>
      <c r="K10" s="19">
        <v>38</v>
      </c>
    </row>
    <row r="11" spans="1:11" ht="15" customHeight="1" x14ac:dyDescent="0.3">
      <c r="A11" s="19">
        <v>10</v>
      </c>
      <c r="B11" s="20" t="s">
        <v>44</v>
      </c>
      <c r="C11" s="20" t="s">
        <v>45</v>
      </c>
      <c r="D11" s="20" t="s">
        <v>12</v>
      </c>
      <c r="E11" s="19">
        <v>70</v>
      </c>
      <c r="F11" s="19" t="b">
        <v>0</v>
      </c>
      <c r="G11" s="19">
        <v>0</v>
      </c>
      <c r="H11" s="20" t="s">
        <v>46</v>
      </c>
      <c r="I11" s="20" t="s">
        <v>14</v>
      </c>
      <c r="J11" s="19" t="s">
        <v>47</v>
      </c>
      <c r="K11" s="19" t="b">
        <v>1</v>
      </c>
    </row>
    <row r="12" spans="1:11" ht="15" customHeight="1" x14ac:dyDescent="0.3">
      <c r="A12" s="19">
        <v>11</v>
      </c>
      <c r="B12" s="20" t="s">
        <v>48</v>
      </c>
      <c r="C12" s="20" t="s">
        <v>45</v>
      </c>
      <c r="D12" s="20" t="s">
        <v>17</v>
      </c>
      <c r="E12" s="19">
        <v>25</v>
      </c>
      <c r="F12" s="19" t="b">
        <v>0</v>
      </c>
      <c r="G12" s="19">
        <v>0</v>
      </c>
      <c r="H12" s="20" t="s">
        <v>49</v>
      </c>
      <c r="I12" s="20" t="s">
        <v>14</v>
      </c>
      <c r="J12" s="19" t="s">
        <v>50</v>
      </c>
    </row>
    <row r="13" spans="1:11" ht="15" customHeight="1" x14ac:dyDescent="0.3">
      <c r="A13" s="19">
        <v>12</v>
      </c>
      <c r="B13" s="20" t="s">
        <v>51</v>
      </c>
      <c r="C13" s="20" t="s">
        <v>45</v>
      </c>
      <c r="D13" s="20" t="s">
        <v>21</v>
      </c>
      <c r="E13" s="19">
        <v>8</v>
      </c>
      <c r="F13" s="19" t="b">
        <v>0</v>
      </c>
      <c r="G13" s="19">
        <v>0</v>
      </c>
      <c r="H13" s="20" t="s">
        <v>52</v>
      </c>
      <c r="I13" s="20" t="s">
        <v>14</v>
      </c>
      <c r="J13" s="19" t="s">
        <v>53</v>
      </c>
    </row>
    <row r="14" spans="1:11" ht="15" customHeight="1" x14ac:dyDescent="0.3">
      <c r="A14" s="19">
        <v>13</v>
      </c>
      <c r="B14" s="20" t="s">
        <v>54</v>
      </c>
      <c r="C14" s="20" t="s">
        <v>45</v>
      </c>
      <c r="D14" s="20" t="s">
        <v>12</v>
      </c>
      <c r="E14" s="19">
        <v>70</v>
      </c>
      <c r="F14" s="19" t="b">
        <v>0</v>
      </c>
      <c r="G14" s="19">
        <v>0</v>
      </c>
      <c r="H14" s="20" t="s">
        <v>55</v>
      </c>
      <c r="I14" s="20" t="s">
        <v>14</v>
      </c>
      <c r="J14" s="19" t="s">
        <v>56</v>
      </c>
    </row>
    <row r="15" spans="1:11" ht="15" customHeight="1" x14ac:dyDescent="0.3">
      <c r="A15" s="19">
        <v>14</v>
      </c>
      <c r="B15" s="20" t="s">
        <v>57</v>
      </c>
      <c r="C15" s="20" t="s">
        <v>45</v>
      </c>
      <c r="D15" s="20" t="s">
        <v>17</v>
      </c>
      <c r="E15" s="19">
        <v>25</v>
      </c>
      <c r="F15" s="19" t="b">
        <v>0</v>
      </c>
      <c r="G15" s="19">
        <v>0</v>
      </c>
      <c r="H15" s="20" t="s">
        <v>58</v>
      </c>
      <c r="I15" s="20" t="s">
        <v>14</v>
      </c>
      <c r="J15" s="19" t="s">
        <v>59</v>
      </c>
    </row>
    <row r="16" spans="1:11" ht="15" customHeight="1" x14ac:dyDescent="0.3">
      <c r="A16" s="19">
        <v>15</v>
      </c>
      <c r="B16" s="20" t="s">
        <v>60</v>
      </c>
      <c r="C16" s="20" t="s">
        <v>45</v>
      </c>
      <c r="D16" s="20" t="s">
        <v>21</v>
      </c>
      <c r="E16" s="19">
        <v>8</v>
      </c>
      <c r="F16" s="19" t="b">
        <v>0</v>
      </c>
      <c r="G16" s="19">
        <v>0</v>
      </c>
      <c r="H16" s="20" t="s">
        <v>61</v>
      </c>
      <c r="I16" s="20" t="s">
        <v>14</v>
      </c>
      <c r="J16" s="19" t="s">
        <v>62</v>
      </c>
    </row>
    <row r="17" spans="1:10" ht="15" customHeight="1" x14ac:dyDescent="0.3">
      <c r="A17" s="19">
        <v>16</v>
      </c>
      <c r="B17" s="20" t="s">
        <v>63</v>
      </c>
      <c r="C17" s="20" t="s">
        <v>64</v>
      </c>
      <c r="D17" s="20" t="s">
        <v>12</v>
      </c>
      <c r="E17" s="19">
        <v>70</v>
      </c>
      <c r="F17" s="19" t="b">
        <v>0</v>
      </c>
      <c r="G17" s="19">
        <v>0</v>
      </c>
      <c r="H17" s="20" t="s">
        <v>65</v>
      </c>
      <c r="I17" s="20" t="s">
        <v>14</v>
      </c>
      <c r="J17" s="19" t="s">
        <v>66</v>
      </c>
    </row>
    <row r="18" spans="1:10" ht="15" customHeight="1" x14ac:dyDescent="0.3">
      <c r="A18" s="19">
        <v>17</v>
      </c>
      <c r="B18" s="20" t="s">
        <v>67</v>
      </c>
      <c r="C18" s="20" t="s">
        <v>64</v>
      </c>
      <c r="D18" s="20" t="s">
        <v>17</v>
      </c>
      <c r="E18" s="19">
        <v>25</v>
      </c>
      <c r="F18" s="19" t="b">
        <v>0</v>
      </c>
      <c r="G18" s="19">
        <v>0</v>
      </c>
      <c r="H18" s="20" t="s">
        <v>68</v>
      </c>
      <c r="I18" s="20" t="s">
        <v>14</v>
      </c>
      <c r="J18" s="19" t="s">
        <v>69</v>
      </c>
    </row>
    <row r="19" spans="1:10" ht="15" customHeight="1" x14ac:dyDescent="0.3">
      <c r="A19" s="19">
        <v>18</v>
      </c>
      <c r="B19" s="20" t="s">
        <v>70</v>
      </c>
      <c r="C19" s="20" t="s">
        <v>64</v>
      </c>
      <c r="D19" s="20" t="s">
        <v>21</v>
      </c>
      <c r="E19" s="19">
        <v>8</v>
      </c>
      <c r="F19" s="19" t="b">
        <v>0</v>
      </c>
      <c r="G19" s="19">
        <v>0</v>
      </c>
      <c r="H19" s="20" t="s">
        <v>71</v>
      </c>
      <c r="I19" s="20" t="s">
        <v>14</v>
      </c>
      <c r="J19" s="19" t="s">
        <v>72</v>
      </c>
    </row>
    <row r="20" spans="1:10" ht="15" customHeight="1" x14ac:dyDescent="0.3">
      <c r="A20" s="19">
        <v>19</v>
      </c>
      <c r="B20" s="20" t="s">
        <v>73</v>
      </c>
      <c r="C20" s="20" t="s">
        <v>64</v>
      </c>
      <c r="D20" s="20" t="s">
        <v>12</v>
      </c>
      <c r="E20" s="19">
        <v>70</v>
      </c>
      <c r="F20" s="19" t="b">
        <v>0</v>
      </c>
      <c r="G20" s="19">
        <v>0</v>
      </c>
      <c r="H20" s="20" t="s">
        <v>74</v>
      </c>
      <c r="I20" s="20" t="s">
        <v>14</v>
      </c>
      <c r="J20" s="19" t="s">
        <v>75</v>
      </c>
    </row>
    <row r="21" spans="1:10" ht="15" customHeight="1" x14ac:dyDescent="0.3">
      <c r="A21" s="19">
        <v>20</v>
      </c>
      <c r="B21" s="20" t="s">
        <v>76</v>
      </c>
      <c r="C21" s="20" t="s">
        <v>64</v>
      </c>
      <c r="D21" s="20" t="s">
        <v>17</v>
      </c>
      <c r="E21" s="19">
        <v>25</v>
      </c>
      <c r="F21" s="19" t="b">
        <v>0</v>
      </c>
      <c r="G21" s="19">
        <v>0</v>
      </c>
      <c r="H21" s="20" t="s">
        <v>77</v>
      </c>
      <c r="I21" s="20" t="s">
        <v>14</v>
      </c>
      <c r="J21" s="19" t="s">
        <v>78</v>
      </c>
    </row>
    <row r="22" spans="1:10" ht="15" customHeight="1" x14ac:dyDescent="0.3">
      <c r="A22" s="19">
        <v>21</v>
      </c>
      <c r="B22" s="20" t="s">
        <v>79</v>
      </c>
      <c r="C22" s="20" t="s">
        <v>64</v>
      </c>
      <c r="D22" s="20" t="s">
        <v>12</v>
      </c>
      <c r="E22" s="19">
        <v>70</v>
      </c>
      <c r="F22" s="19" t="b">
        <v>0</v>
      </c>
      <c r="G22" s="19">
        <v>0</v>
      </c>
      <c r="H22" s="20" t="s">
        <v>80</v>
      </c>
      <c r="I22" s="20" t="s">
        <v>14</v>
      </c>
      <c r="J22" s="19" t="s">
        <v>81</v>
      </c>
    </row>
    <row r="23" spans="1:10" ht="15" customHeight="1" x14ac:dyDescent="0.3">
      <c r="A23" s="19">
        <v>22</v>
      </c>
      <c r="B23" s="20" t="s">
        <v>82</v>
      </c>
      <c r="C23" s="20" t="s">
        <v>64</v>
      </c>
      <c r="D23" s="20" t="s">
        <v>17</v>
      </c>
      <c r="E23" s="19">
        <v>25</v>
      </c>
      <c r="F23" s="19" t="b">
        <v>0</v>
      </c>
      <c r="G23" s="19">
        <v>0</v>
      </c>
      <c r="H23" s="20" t="s">
        <v>83</v>
      </c>
      <c r="I23" s="20" t="s">
        <v>14</v>
      </c>
      <c r="J23" s="19" t="s">
        <v>84</v>
      </c>
    </row>
    <row r="24" spans="1:10" ht="15" customHeight="1" x14ac:dyDescent="0.3">
      <c r="A24" s="19">
        <v>23</v>
      </c>
      <c r="B24" s="20" t="s">
        <v>85</v>
      </c>
      <c r="C24" s="20" t="s">
        <v>86</v>
      </c>
      <c r="D24" s="20" t="s">
        <v>12</v>
      </c>
      <c r="E24" s="19">
        <v>70</v>
      </c>
      <c r="F24" s="19" t="b">
        <v>0</v>
      </c>
      <c r="G24" s="19">
        <v>0</v>
      </c>
      <c r="H24" s="20" t="s">
        <v>87</v>
      </c>
      <c r="I24" s="20" t="s">
        <v>14</v>
      </c>
      <c r="J24" s="19" t="s">
        <v>88</v>
      </c>
    </row>
    <row r="25" spans="1:10" ht="15" customHeight="1" x14ac:dyDescent="0.3">
      <c r="A25" s="19">
        <v>24</v>
      </c>
      <c r="B25" s="20" t="s">
        <v>89</v>
      </c>
      <c r="C25" s="20" t="s">
        <v>86</v>
      </c>
      <c r="D25" s="20" t="s">
        <v>17</v>
      </c>
      <c r="E25" s="19">
        <v>25</v>
      </c>
      <c r="F25" s="19" t="b">
        <v>0</v>
      </c>
      <c r="G25" s="19">
        <v>0</v>
      </c>
      <c r="H25" s="20" t="s">
        <v>90</v>
      </c>
      <c r="I25" s="20" t="s">
        <v>14</v>
      </c>
      <c r="J25" s="19" t="s">
        <v>91</v>
      </c>
    </row>
    <row r="26" spans="1:10" ht="15" customHeight="1" x14ac:dyDescent="0.3">
      <c r="A26" s="19">
        <v>25</v>
      </c>
      <c r="B26" s="20" t="s">
        <v>92</v>
      </c>
      <c r="C26" s="20" t="s">
        <v>93</v>
      </c>
      <c r="D26" s="20" t="s">
        <v>17</v>
      </c>
      <c r="E26" s="19">
        <v>25</v>
      </c>
      <c r="F26" s="19" t="b">
        <v>0</v>
      </c>
      <c r="G26" s="19">
        <v>0</v>
      </c>
      <c r="H26" s="20" t="s">
        <v>94</v>
      </c>
      <c r="I26" s="20" t="s">
        <v>14</v>
      </c>
      <c r="J26" s="19" t="s">
        <v>95</v>
      </c>
    </row>
    <row r="27" spans="1:10" ht="15" customHeight="1" x14ac:dyDescent="0.3">
      <c r="A27" s="19">
        <v>26</v>
      </c>
      <c r="B27" s="20" t="s">
        <v>96</v>
      </c>
      <c r="C27" s="20" t="s">
        <v>93</v>
      </c>
      <c r="D27" s="20" t="s">
        <v>21</v>
      </c>
      <c r="E27" s="19">
        <v>8</v>
      </c>
      <c r="F27" s="19" t="b">
        <v>0</v>
      </c>
      <c r="G27" s="19">
        <v>0</v>
      </c>
      <c r="H27" s="20" t="s">
        <v>97</v>
      </c>
      <c r="I27" s="20" t="s">
        <v>14</v>
      </c>
      <c r="J27" s="19" t="s">
        <v>98</v>
      </c>
    </row>
    <row r="28" spans="1:10" ht="15" customHeight="1" x14ac:dyDescent="0.3">
      <c r="A28" s="19">
        <v>27</v>
      </c>
      <c r="B28" s="20" t="s">
        <v>99</v>
      </c>
      <c r="C28" s="20" t="s">
        <v>100</v>
      </c>
      <c r="D28" s="20" t="s">
        <v>12</v>
      </c>
      <c r="E28" s="19">
        <v>70</v>
      </c>
      <c r="F28" s="19" t="b">
        <v>0</v>
      </c>
      <c r="G28" s="19">
        <v>0</v>
      </c>
      <c r="H28" s="20" t="s">
        <v>101</v>
      </c>
      <c r="I28" s="20" t="s">
        <v>14</v>
      </c>
      <c r="J28" s="19" t="s">
        <v>102</v>
      </c>
    </row>
    <row r="29" spans="1:10" ht="15" customHeight="1" x14ac:dyDescent="0.3">
      <c r="A29" s="19">
        <v>28</v>
      </c>
      <c r="B29" s="20" t="s">
        <v>103</v>
      </c>
      <c r="C29" s="20" t="s">
        <v>100</v>
      </c>
      <c r="D29" s="20" t="s">
        <v>17</v>
      </c>
      <c r="E29" s="19">
        <v>25</v>
      </c>
      <c r="F29" s="19" t="b">
        <v>0</v>
      </c>
      <c r="G29" s="19">
        <v>0</v>
      </c>
      <c r="H29" s="20" t="s">
        <v>104</v>
      </c>
      <c r="I29" s="20" t="s">
        <v>14</v>
      </c>
      <c r="J29" s="19" t="s">
        <v>105</v>
      </c>
    </row>
    <row r="30" spans="1:10" ht="15" customHeight="1" x14ac:dyDescent="0.3">
      <c r="A30" s="19">
        <v>29</v>
      </c>
      <c r="B30" s="20" t="s">
        <v>106</v>
      </c>
      <c r="C30" s="20" t="s">
        <v>86</v>
      </c>
      <c r="D30" s="20" t="s">
        <v>12</v>
      </c>
      <c r="E30" s="19">
        <v>70</v>
      </c>
      <c r="F30" s="19" t="b">
        <v>0</v>
      </c>
      <c r="G30" s="19">
        <v>0</v>
      </c>
      <c r="H30" s="20" t="s">
        <v>107</v>
      </c>
      <c r="I30" s="20" t="s">
        <v>14</v>
      </c>
      <c r="J30" s="19" t="s">
        <v>108</v>
      </c>
    </row>
    <row r="31" spans="1:10" ht="15" customHeight="1" x14ac:dyDescent="0.3">
      <c r="A31" s="19">
        <v>30</v>
      </c>
      <c r="B31" s="20" t="s">
        <v>109</v>
      </c>
      <c r="C31" s="20" t="s">
        <v>86</v>
      </c>
      <c r="D31" s="20" t="s">
        <v>17</v>
      </c>
      <c r="E31" s="19">
        <v>25</v>
      </c>
      <c r="F31" s="19" t="b">
        <v>0</v>
      </c>
      <c r="G31" s="19">
        <v>0</v>
      </c>
      <c r="H31" s="20" t="s">
        <v>110</v>
      </c>
      <c r="I31" s="20" t="s">
        <v>14</v>
      </c>
      <c r="J31" s="19" t="s">
        <v>111</v>
      </c>
    </row>
    <row r="32" spans="1:10" ht="15" customHeight="1" x14ac:dyDescent="0.3">
      <c r="A32" s="19">
        <v>31</v>
      </c>
      <c r="B32" s="20" t="s">
        <v>112</v>
      </c>
      <c r="C32" s="20" t="s">
        <v>86</v>
      </c>
      <c r="D32" s="20" t="s">
        <v>21</v>
      </c>
      <c r="E32" s="19">
        <v>8</v>
      </c>
      <c r="F32" s="19" t="b">
        <v>0</v>
      </c>
      <c r="G32" s="19">
        <v>0</v>
      </c>
      <c r="H32" s="20" t="s">
        <v>113</v>
      </c>
      <c r="I32" s="20" t="s">
        <v>14</v>
      </c>
      <c r="J32" s="19" t="s">
        <v>114</v>
      </c>
    </row>
    <row r="33" spans="1:10" ht="15" customHeight="1" x14ac:dyDescent="0.3">
      <c r="A33" s="19">
        <v>32</v>
      </c>
      <c r="B33" s="20" t="s">
        <v>115</v>
      </c>
      <c r="C33" s="20" t="s">
        <v>86</v>
      </c>
      <c r="D33" s="20" t="s">
        <v>12</v>
      </c>
      <c r="E33" s="19">
        <v>70</v>
      </c>
      <c r="F33" s="19" t="b">
        <v>0</v>
      </c>
      <c r="G33" s="19">
        <v>0</v>
      </c>
      <c r="H33" s="20" t="s">
        <v>116</v>
      </c>
      <c r="I33" s="20" t="s">
        <v>14</v>
      </c>
      <c r="J33" s="19" t="s">
        <v>117</v>
      </c>
    </row>
    <row r="34" spans="1:10" ht="15" customHeight="1" x14ac:dyDescent="0.3">
      <c r="A34" s="19">
        <v>33</v>
      </c>
      <c r="B34" s="20" t="s">
        <v>118</v>
      </c>
      <c r="C34" s="20" t="s">
        <v>86</v>
      </c>
      <c r="D34" s="20" t="s">
        <v>17</v>
      </c>
      <c r="E34" s="19">
        <v>25</v>
      </c>
      <c r="F34" s="19" t="b">
        <v>0</v>
      </c>
      <c r="G34" s="19">
        <v>0</v>
      </c>
      <c r="H34" s="20" t="s">
        <v>119</v>
      </c>
      <c r="I34" s="20" t="s">
        <v>14</v>
      </c>
      <c r="J34" s="19" t="s">
        <v>120</v>
      </c>
    </row>
    <row r="35" spans="1:10" ht="15" customHeight="1" x14ac:dyDescent="0.3">
      <c r="A35" s="19">
        <v>34</v>
      </c>
      <c r="B35" s="20" t="s">
        <v>121</v>
      </c>
      <c r="C35" s="20" t="s">
        <v>86</v>
      </c>
      <c r="D35" s="20" t="s">
        <v>21</v>
      </c>
      <c r="E35" s="19">
        <v>8</v>
      </c>
      <c r="F35" s="19" t="b">
        <v>0</v>
      </c>
      <c r="G35" s="19">
        <v>0</v>
      </c>
      <c r="H35" s="20" t="s">
        <v>122</v>
      </c>
      <c r="I35" s="20" t="s">
        <v>14</v>
      </c>
      <c r="J35" s="19" t="s">
        <v>123</v>
      </c>
    </row>
    <row r="36" spans="1:10" ht="15" customHeight="1" x14ac:dyDescent="0.3">
      <c r="A36" s="19">
        <v>35</v>
      </c>
      <c r="B36" s="20" t="s">
        <v>124</v>
      </c>
      <c r="C36" s="20" t="s">
        <v>125</v>
      </c>
      <c r="D36" s="20" t="s">
        <v>12</v>
      </c>
      <c r="E36" s="19">
        <v>70</v>
      </c>
      <c r="F36" s="19" t="b">
        <v>0</v>
      </c>
      <c r="G36" s="19">
        <v>0</v>
      </c>
      <c r="H36" s="20" t="s">
        <v>126</v>
      </c>
      <c r="I36" s="20" t="s">
        <v>14</v>
      </c>
      <c r="J36" s="19" t="s">
        <v>127</v>
      </c>
    </row>
    <row r="37" spans="1:10" ht="15" customHeight="1" x14ac:dyDescent="0.3">
      <c r="A37" s="19">
        <v>36</v>
      </c>
      <c r="B37" s="20" t="s">
        <v>128</v>
      </c>
      <c r="C37" s="20" t="s">
        <v>125</v>
      </c>
      <c r="D37" s="20" t="s">
        <v>17</v>
      </c>
      <c r="E37" s="19">
        <v>25</v>
      </c>
      <c r="F37" s="19" t="b">
        <v>0</v>
      </c>
      <c r="G37" s="19">
        <v>0</v>
      </c>
      <c r="H37" s="20" t="s">
        <v>129</v>
      </c>
      <c r="I37" s="20" t="s">
        <v>14</v>
      </c>
      <c r="J37" s="19" t="s">
        <v>130</v>
      </c>
    </row>
    <row r="38" spans="1:10" ht="15" customHeight="1" x14ac:dyDescent="0.3">
      <c r="A38" s="19">
        <v>37</v>
      </c>
      <c r="B38" s="20" t="s">
        <v>131</v>
      </c>
      <c r="C38" s="20" t="s">
        <v>25</v>
      </c>
      <c r="D38" s="20" t="s">
        <v>12</v>
      </c>
      <c r="E38" s="19">
        <v>70</v>
      </c>
      <c r="F38" s="19" t="b">
        <v>0</v>
      </c>
      <c r="G38" s="19">
        <v>0</v>
      </c>
      <c r="H38" s="20" t="s">
        <v>132</v>
      </c>
      <c r="I38" s="20" t="s">
        <v>14</v>
      </c>
      <c r="J38" s="19" t="s">
        <v>133</v>
      </c>
    </row>
    <row r="39" spans="1:10" ht="15" customHeight="1" x14ac:dyDescent="0.3">
      <c r="A39" s="19">
        <v>38</v>
      </c>
      <c r="B39" s="20" t="s">
        <v>134</v>
      </c>
      <c r="C39" s="20" t="s">
        <v>25</v>
      </c>
      <c r="D39" s="20" t="s">
        <v>17</v>
      </c>
      <c r="E39" s="19">
        <v>25</v>
      </c>
      <c r="F39" s="19" t="b">
        <v>0</v>
      </c>
      <c r="G39" s="19">
        <v>0</v>
      </c>
      <c r="H39" s="20" t="s">
        <v>135</v>
      </c>
      <c r="I39" s="20" t="s">
        <v>14</v>
      </c>
      <c r="J39" s="19" t="s">
        <v>136</v>
      </c>
    </row>
    <row r="40" spans="1:10" ht="15" customHeight="1" x14ac:dyDescent="0.3">
      <c r="A40" s="19">
        <v>39</v>
      </c>
      <c r="B40" s="20" t="s">
        <v>137</v>
      </c>
      <c r="C40" s="20" t="s">
        <v>64</v>
      </c>
      <c r="D40" s="20" t="s">
        <v>12</v>
      </c>
      <c r="E40" s="19">
        <v>70</v>
      </c>
      <c r="F40" s="19" t="b">
        <v>0</v>
      </c>
      <c r="G40" s="19">
        <v>0</v>
      </c>
      <c r="H40" s="20" t="s">
        <v>138</v>
      </c>
      <c r="I40" s="20" t="s">
        <v>14</v>
      </c>
      <c r="J40" s="19" t="s">
        <v>139</v>
      </c>
    </row>
    <row r="41" spans="1:10" ht="15" customHeight="1" x14ac:dyDescent="0.3">
      <c r="A41" s="19">
        <v>40</v>
      </c>
      <c r="B41" s="20" t="s">
        <v>140</v>
      </c>
      <c r="C41" s="20" t="s">
        <v>64</v>
      </c>
      <c r="D41" s="20" t="s">
        <v>17</v>
      </c>
      <c r="E41" s="19">
        <v>25</v>
      </c>
      <c r="F41" s="19" t="b">
        <v>0</v>
      </c>
      <c r="G41" s="19">
        <v>0</v>
      </c>
      <c r="H41" s="20" t="s">
        <v>141</v>
      </c>
      <c r="I41" s="20" t="s">
        <v>14</v>
      </c>
      <c r="J41" s="19" t="s">
        <v>142</v>
      </c>
    </row>
    <row r="42" spans="1:10" ht="15" customHeight="1" x14ac:dyDescent="0.3">
      <c r="A42" s="19">
        <v>41</v>
      </c>
      <c r="B42" s="20" t="s">
        <v>143</v>
      </c>
      <c r="C42" s="20" t="s">
        <v>86</v>
      </c>
      <c r="D42" s="20" t="s">
        <v>12</v>
      </c>
      <c r="E42" s="19">
        <v>70</v>
      </c>
      <c r="F42" s="19" t="b">
        <v>0</v>
      </c>
      <c r="G42" s="19">
        <v>0</v>
      </c>
      <c r="H42" s="20" t="s">
        <v>144</v>
      </c>
      <c r="I42" s="20" t="s">
        <v>14</v>
      </c>
      <c r="J42" s="19" t="s">
        <v>145</v>
      </c>
    </row>
    <row r="43" spans="1:10" ht="15" customHeight="1" x14ac:dyDescent="0.3">
      <c r="A43" s="19">
        <v>42</v>
      </c>
      <c r="B43" s="20" t="s">
        <v>146</v>
      </c>
      <c r="C43" s="20" t="s">
        <v>86</v>
      </c>
      <c r="D43" s="20" t="s">
        <v>17</v>
      </c>
      <c r="E43" s="19">
        <v>25</v>
      </c>
      <c r="F43" s="19" t="b">
        <v>0</v>
      </c>
      <c r="G43" s="19">
        <v>0</v>
      </c>
      <c r="H43" s="20" t="s">
        <v>147</v>
      </c>
      <c r="I43" s="20" t="s">
        <v>14</v>
      </c>
      <c r="J43" s="19" t="s">
        <v>148</v>
      </c>
    </row>
    <row r="44" spans="1:10" ht="15" customHeight="1" x14ac:dyDescent="0.3">
      <c r="A44" s="19">
        <v>43</v>
      </c>
      <c r="B44" s="20" t="s">
        <v>149</v>
      </c>
      <c r="C44" s="20" t="s">
        <v>11</v>
      </c>
      <c r="D44" s="20" t="s">
        <v>12</v>
      </c>
      <c r="E44" s="19">
        <v>70</v>
      </c>
      <c r="F44" s="19" t="b">
        <v>0</v>
      </c>
      <c r="G44" s="19">
        <v>0</v>
      </c>
      <c r="H44" s="20" t="s">
        <v>150</v>
      </c>
      <c r="I44" s="20" t="s">
        <v>14</v>
      </c>
      <c r="J44" s="19" t="s">
        <v>151</v>
      </c>
    </row>
    <row r="45" spans="1:10" ht="15" customHeight="1" x14ac:dyDescent="0.3">
      <c r="A45" s="19">
        <v>44</v>
      </c>
      <c r="B45" s="20" t="s">
        <v>152</v>
      </c>
      <c r="C45" s="20" t="s">
        <v>11</v>
      </c>
      <c r="D45" s="20" t="s">
        <v>17</v>
      </c>
      <c r="E45" s="19">
        <v>25</v>
      </c>
      <c r="F45" s="19" t="b">
        <v>0</v>
      </c>
      <c r="G45" s="19">
        <v>0</v>
      </c>
      <c r="H45" s="20" t="s">
        <v>153</v>
      </c>
      <c r="I45" s="20" t="s">
        <v>14</v>
      </c>
      <c r="J45" s="19" t="s">
        <v>154</v>
      </c>
    </row>
    <row r="46" spans="1:10" ht="15" customHeight="1" x14ac:dyDescent="0.3">
      <c r="A46" s="19">
        <v>45</v>
      </c>
      <c r="B46" s="20" t="s">
        <v>155</v>
      </c>
      <c r="C46" s="20" t="s">
        <v>11</v>
      </c>
      <c r="D46" s="20" t="s">
        <v>21</v>
      </c>
      <c r="E46" s="19">
        <v>8</v>
      </c>
      <c r="F46" s="19" t="b">
        <v>0</v>
      </c>
      <c r="G46" s="19">
        <v>0</v>
      </c>
      <c r="H46" s="20" t="s">
        <v>156</v>
      </c>
      <c r="I46" s="20" t="s">
        <v>14</v>
      </c>
      <c r="J46" s="19" t="s">
        <v>157</v>
      </c>
    </row>
    <row r="47" spans="1:10" ht="15" customHeight="1" x14ac:dyDescent="0.3">
      <c r="A47" s="19">
        <v>46</v>
      </c>
      <c r="B47" s="20" t="s">
        <v>158</v>
      </c>
      <c r="C47" s="20" t="s">
        <v>45</v>
      </c>
      <c r="D47" s="20" t="s">
        <v>12</v>
      </c>
      <c r="E47" s="19">
        <v>70</v>
      </c>
      <c r="F47" s="19" t="b">
        <v>0</v>
      </c>
      <c r="G47" s="19">
        <v>0</v>
      </c>
      <c r="H47" s="20" t="s">
        <v>159</v>
      </c>
      <c r="I47" s="20" t="s">
        <v>14</v>
      </c>
      <c r="J47" s="19" t="s">
        <v>160</v>
      </c>
    </row>
    <row r="48" spans="1:10" ht="15" customHeight="1" x14ac:dyDescent="0.3">
      <c r="A48" s="19">
        <v>47</v>
      </c>
      <c r="B48" s="20" t="s">
        <v>161</v>
      </c>
      <c r="C48" s="20" t="s">
        <v>45</v>
      </c>
      <c r="D48" s="20" t="s">
        <v>17</v>
      </c>
      <c r="E48" s="19">
        <v>25</v>
      </c>
      <c r="F48" s="19" t="b">
        <v>0</v>
      </c>
      <c r="G48" s="19">
        <v>0</v>
      </c>
      <c r="H48" s="20" t="s">
        <v>162</v>
      </c>
      <c r="I48" s="20" t="s">
        <v>14</v>
      </c>
      <c r="J48" s="19" t="s">
        <v>163</v>
      </c>
    </row>
    <row r="49" spans="1:10" ht="15" customHeight="1" x14ac:dyDescent="0.3">
      <c r="A49" s="19">
        <v>48</v>
      </c>
      <c r="B49" s="20" t="s">
        <v>164</v>
      </c>
      <c r="C49" s="20" t="s">
        <v>45</v>
      </c>
      <c r="D49" s="20" t="s">
        <v>12</v>
      </c>
      <c r="E49" s="19">
        <v>70</v>
      </c>
      <c r="F49" s="19" t="b">
        <v>0</v>
      </c>
      <c r="G49" s="19">
        <v>0</v>
      </c>
      <c r="H49" s="20" t="s">
        <v>165</v>
      </c>
      <c r="I49" s="20" t="s">
        <v>14</v>
      </c>
      <c r="J49" s="19" t="s">
        <v>166</v>
      </c>
    </row>
    <row r="50" spans="1:10" ht="15" customHeight="1" x14ac:dyDescent="0.3">
      <c r="A50" s="19">
        <v>49</v>
      </c>
      <c r="B50" s="20" t="s">
        <v>167</v>
      </c>
      <c r="C50" s="20" t="s">
        <v>45</v>
      </c>
      <c r="D50" s="20" t="s">
        <v>17</v>
      </c>
      <c r="E50" s="19">
        <v>25</v>
      </c>
      <c r="F50" s="19" t="b">
        <v>0</v>
      </c>
      <c r="G50" s="19">
        <v>0</v>
      </c>
      <c r="H50" s="20" t="s">
        <v>168</v>
      </c>
      <c r="I50" s="20" t="s">
        <v>14</v>
      </c>
      <c r="J50" s="19" t="s">
        <v>169</v>
      </c>
    </row>
    <row r="51" spans="1:10" ht="15" customHeight="1" x14ac:dyDescent="0.3">
      <c r="A51" s="19">
        <v>50</v>
      </c>
      <c r="B51" s="20" t="s">
        <v>170</v>
      </c>
      <c r="C51" s="20" t="s">
        <v>100</v>
      </c>
      <c r="D51" s="20" t="s">
        <v>12</v>
      </c>
      <c r="E51" s="19">
        <v>70</v>
      </c>
      <c r="F51" s="19" t="b">
        <v>0</v>
      </c>
      <c r="G51" s="19">
        <v>0</v>
      </c>
      <c r="H51" s="20" t="s">
        <v>171</v>
      </c>
      <c r="I51" s="20" t="s">
        <v>14</v>
      </c>
      <c r="J51" s="19" t="s">
        <v>172</v>
      </c>
    </row>
    <row r="52" spans="1:10" ht="15" customHeight="1" x14ac:dyDescent="0.3">
      <c r="A52" s="19">
        <v>51</v>
      </c>
      <c r="B52" s="20" t="s">
        <v>173</v>
      </c>
      <c r="C52" s="20" t="s">
        <v>100</v>
      </c>
      <c r="D52" s="20" t="s">
        <v>17</v>
      </c>
      <c r="E52" s="19">
        <v>25</v>
      </c>
      <c r="F52" s="19" t="b">
        <v>0</v>
      </c>
      <c r="G52" s="19">
        <v>0</v>
      </c>
      <c r="H52" s="20" t="s">
        <v>174</v>
      </c>
      <c r="I52" s="20" t="s">
        <v>14</v>
      </c>
      <c r="J52" s="19" t="s">
        <v>175</v>
      </c>
    </row>
    <row r="53" spans="1:10" ht="15" customHeight="1" x14ac:dyDescent="0.3">
      <c r="A53" s="19">
        <v>52</v>
      </c>
      <c r="B53" s="20" t="s">
        <v>176</v>
      </c>
      <c r="C53" s="20" t="s">
        <v>64</v>
      </c>
      <c r="D53" s="20" t="s">
        <v>12</v>
      </c>
      <c r="E53" s="19">
        <v>70</v>
      </c>
      <c r="F53" s="19" t="b">
        <v>0</v>
      </c>
      <c r="G53" s="19">
        <v>0</v>
      </c>
      <c r="H53" s="20" t="s">
        <v>177</v>
      </c>
      <c r="I53" s="20" t="s">
        <v>14</v>
      </c>
      <c r="J53" s="19" t="s">
        <v>178</v>
      </c>
    </row>
    <row r="54" spans="1:10" ht="15" customHeight="1" x14ac:dyDescent="0.3">
      <c r="A54" s="19">
        <v>53</v>
      </c>
      <c r="B54" s="20" t="s">
        <v>179</v>
      </c>
      <c r="C54" s="20" t="s">
        <v>64</v>
      </c>
      <c r="D54" s="20" t="s">
        <v>17</v>
      </c>
      <c r="E54" s="19">
        <v>25</v>
      </c>
      <c r="F54" s="19" t="b">
        <v>0</v>
      </c>
      <c r="G54" s="19">
        <v>0</v>
      </c>
      <c r="H54" s="20" t="s">
        <v>180</v>
      </c>
      <c r="I54" s="20" t="s">
        <v>14</v>
      </c>
      <c r="J54" s="19" t="s">
        <v>181</v>
      </c>
    </row>
    <row r="55" spans="1:10" ht="15" customHeight="1" x14ac:dyDescent="0.3">
      <c r="A55" s="19">
        <v>54</v>
      </c>
      <c r="B55" s="20" t="s">
        <v>182</v>
      </c>
      <c r="C55" s="20" t="s">
        <v>35</v>
      </c>
      <c r="D55" s="20" t="s">
        <v>12</v>
      </c>
      <c r="E55" s="19">
        <v>70</v>
      </c>
      <c r="F55" s="19" t="b">
        <v>0</v>
      </c>
      <c r="G55" s="19">
        <v>0</v>
      </c>
      <c r="H55" s="20" t="s">
        <v>183</v>
      </c>
      <c r="I55" s="20" t="s">
        <v>14</v>
      </c>
      <c r="J55" s="19" t="s">
        <v>184</v>
      </c>
    </row>
    <row r="56" spans="1:10" ht="15" customHeight="1" x14ac:dyDescent="0.3">
      <c r="A56" s="19">
        <v>55</v>
      </c>
      <c r="B56" s="20" t="s">
        <v>185</v>
      </c>
      <c r="C56" s="20" t="s">
        <v>35</v>
      </c>
      <c r="D56" s="20" t="s">
        <v>17</v>
      </c>
      <c r="E56" s="19">
        <v>25</v>
      </c>
      <c r="F56" s="19" t="b">
        <v>0</v>
      </c>
      <c r="G56" s="19">
        <v>0</v>
      </c>
      <c r="H56" s="20" t="s">
        <v>186</v>
      </c>
      <c r="I56" s="20" t="s">
        <v>14</v>
      </c>
      <c r="J56" s="19" t="s">
        <v>187</v>
      </c>
    </row>
    <row r="57" spans="1:10" ht="15" customHeight="1" x14ac:dyDescent="0.3">
      <c r="A57" s="19">
        <v>56</v>
      </c>
      <c r="B57" s="20" t="s">
        <v>188</v>
      </c>
      <c r="C57" s="20" t="s">
        <v>189</v>
      </c>
      <c r="D57" s="20" t="s">
        <v>12</v>
      </c>
      <c r="E57" s="19">
        <v>70</v>
      </c>
      <c r="F57" s="19" t="b">
        <v>0</v>
      </c>
      <c r="G57" s="19">
        <v>0</v>
      </c>
      <c r="H57" s="20" t="s">
        <v>190</v>
      </c>
      <c r="I57" s="20" t="s">
        <v>14</v>
      </c>
      <c r="J57" s="19" t="s">
        <v>191</v>
      </c>
    </row>
    <row r="58" spans="1:10" ht="15" customHeight="1" x14ac:dyDescent="0.3">
      <c r="A58" s="19">
        <v>57</v>
      </c>
      <c r="B58" s="20" t="s">
        <v>192</v>
      </c>
      <c r="C58" s="20" t="s">
        <v>189</v>
      </c>
      <c r="D58" s="20" t="s">
        <v>17</v>
      </c>
      <c r="E58" s="19">
        <v>25</v>
      </c>
      <c r="F58" s="19" t="b">
        <v>0</v>
      </c>
      <c r="G58" s="19">
        <v>0</v>
      </c>
      <c r="H58" s="20" t="s">
        <v>193</v>
      </c>
      <c r="I58" s="20" t="s">
        <v>14</v>
      </c>
      <c r="J58" s="19" t="s">
        <v>194</v>
      </c>
    </row>
    <row r="59" spans="1:10" ht="15" customHeight="1" x14ac:dyDescent="0.3">
      <c r="A59" s="19">
        <v>58</v>
      </c>
      <c r="B59" s="20" t="s">
        <v>195</v>
      </c>
      <c r="C59" s="20" t="s">
        <v>25</v>
      </c>
      <c r="D59" s="20" t="s">
        <v>12</v>
      </c>
      <c r="E59" s="19">
        <v>70</v>
      </c>
      <c r="F59" s="19" t="b">
        <v>0</v>
      </c>
      <c r="G59" s="19">
        <v>0</v>
      </c>
      <c r="H59" s="20" t="s">
        <v>196</v>
      </c>
      <c r="I59" s="20" t="s">
        <v>14</v>
      </c>
      <c r="J59" s="19" t="s">
        <v>197</v>
      </c>
    </row>
    <row r="60" spans="1:10" ht="15" customHeight="1" x14ac:dyDescent="0.3">
      <c r="A60" s="19">
        <v>59</v>
      </c>
      <c r="B60" s="20" t="s">
        <v>198</v>
      </c>
      <c r="C60" s="20" t="s">
        <v>25</v>
      </c>
      <c r="D60" s="20" t="s">
        <v>21</v>
      </c>
      <c r="E60" s="19">
        <v>8</v>
      </c>
      <c r="F60" s="19" t="b">
        <v>0</v>
      </c>
      <c r="G60" s="19">
        <v>0</v>
      </c>
      <c r="H60" s="20" t="s">
        <v>199</v>
      </c>
      <c r="I60" s="20" t="s">
        <v>14</v>
      </c>
      <c r="J60" s="19" t="s">
        <v>200</v>
      </c>
    </row>
    <row r="61" spans="1:10" ht="15" customHeight="1" x14ac:dyDescent="0.3">
      <c r="A61" s="19">
        <v>60</v>
      </c>
      <c r="B61" s="20" t="s">
        <v>201</v>
      </c>
      <c r="C61" s="20" t="s">
        <v>35</v>
      </c>
      <c r="D61" s="20" t="s">
        <v>12</v>
      </c>
      <c r="E61" s="19">
        <v>70</v>
      </c>
      <c r="F61" s="19" t="b">
        <v>0</v>
      </c>
      <c r="G61" s="19">
        <v>0</v>
      </c>
      <c r="H61" s="20" t="s">
        <v>202</v>
      </c>
      <c r="I61" s="20" t="s">
        <v>14</v>
      </c>
      <c r="J61" s="19" t="s">
        <v>203</v>
      </c>
    </row>
    <row r="62" spans="1:10" ht="15" customHeight="1" x14ac:dyDescent="0.3">
      <c r="A62" s="19">
        <v>61</v>
      </c>
      <c r="B62" s="20" t="s">
        <v>204</v>
      </c>
      <c r="C62" s="20" t="s">
        <v>35</v>
      </c>
      <c r="D62" s="20" t="s">
        <v>17</v>
      </c>
      <c r="E62" s="19">
        <v>25</v>
      </c>
      <c r="F62" s="19" t="b">
        <v>0</v>
      </c>
      <c r="G62" s="19">
        <v>0</v>
      </c>
      <c r="H62" s="20" t="s">
        <v>205</v>
      </c>
      <c r="I62" s="20" t="s">
        <v>14</v>
      </c>
      <c r="J62" s="19" t="s">
        <v>206</v>
      </c>
    </row>
    <row r="63" spans="1:10" ht="15" customHeight="1" x14ac:dyDescent="0.3">
      <c r="A63" s="19">
        <v>62</v>
      </c>
      <c r="B63" s="20" t="s">
        <v>207</v>
      </c>
      <c r="C63" s="20" t="s">
        <v>35</v>
      </c>
      <c r="D63" s="20" t="s">
        <v>21</v>
      </c>
      <c r="E63" s="19">
        <v>8</v>
      </c>
      <c r="F63" s="19" t="b">
        <v>0</v>
      </c>
      <c r="G63" s="19">
        <v>0</v>
      </c>
      <c r="H63" s="20" t="s">
        <v>208</v>
      </c>
      <c r="I63" s="20" t="s">
        <v>14</v>
      </c>
      <c r="J63" s="19" t="s">
        <v>209</v>
      </c>
    </row>
    <row r="64" spans="1:10" ht="15" customHeight="1" x14ac:dyDescent="0.3">
      <c r="A64" s="19">
        <v>63</v>
      </c>
      <c r="B64" s="20" t="s">
        <v>210</v>
      </c>
      <c r="C64" s="20" t="s">
        <v>211</v>
      </c>
      <c r="D64" s="20" t="s">
        <v>12</v>
      </c>
      <c r="E64" s="19">
        <v>70</v>
      </c>
      <c r="F64" s="19" t="b">
        <v>0</v>
      </c>
      <c r="G64" s="19">
        <v>0</v>
      </c>
      <c r="H64" s="20" t="s">
        <v>212</v>
      </c>
      <c r="I64" s="20" t="s">
        <v>14</v>
      </c>
      <c r="J64" s="19" t="s">
        <v>213</v>
      </c>
    </row>
    <row r="65" spans="1:10" ht="15" customHeight="1" x14ac:dyDescent="0.3">
      <c r="A65" s="19">
        <v>64</v>
      </c>
      <c r="B65" s="20" t="s">
        <v>214</v>
      </c>
      <c r="C65" s="20" t="s">
        <v>211</v>
      </c>
      <c r="D65" s="20" t="s">
        <v>17</v>
      </c>
      <c r="E65" s="19">
        <v>25</v>
      </c>
      <c r="F65" s="19" t="b">
        <v>0</v>
      </c>
      <c r="G65" s="19">
        <v>0</v>
      </c>
      <c r="H65" s="20" t="s">
        <v>215</v>
      </c>
      <c r="I65" s="20" t="s">
        <v>14</v>
      </c>
      <c r="J65" s="19" t="s">
        <v>216</v>
      </c>
    </row>
    <row r="66" spans="1:10" ht="15" customHeight="1" x14ac:dyDescent="0.3">
      <c r="A66" s="19">
        <v>65</v>
      </c>
      <c r="B66" s="20" t="s">
        <v>217</v>
      </c>
      <c r="C66" s="20" t="s">
        <v>211</v>
      </c>
      <c r="D66" s="20" t="s">
        <v>21</v>
      </c>
      <c r="E66" s="19">
        <v>8</v>
      </c>
      <c r="F66" s="19" t="b">
        <v>0</v>
      </c>
      <c r="G66" s="19">
        <v>0</v>
      </c>
      <c r="H66" s="20" t="s">
        <v>218</v>
      </c>
      <c r="I66" s="20" t="s">
        <v>14</v>
      </c>
      <c r="J66" s="19" t="s">
        <v>219</v>
      </c>
    </row>
    <row r="67" spans="1:10" ht="15" customHeight="1" x14ac:dyDescent="0.3">
      <c r="A67" s="19">
        <v>66</v>
      </c>
      <c r="B67" s="20" t="s">
        <v>220</v>
      </c>
      <c r="C67" s="20" t="s">
        <v>189</v>
      </c>
      <c r="D67" s="20" t="s">
        <v>12</v>
      </c>
      <c r="E67" s="19">
        <v>70</v>
      </c>
      <c r="F67" s="19" t="b">
        <v>0</v>
      </c>
      <c r="G67" s="19">
        <v>0</v>
      </c>
      <c r="H67" s="20" t="s">
        <v>221</v>
      </c>
      <c r="I67" s="20" t="s">
        <v>14</v>
      </c>
      <c r="J67" s="19" t="s">
        <v>222</v>
      </c>
    </row>
    <row r="68" spans="1:10" ht="15" customHeight="1" x14ac:dyDescent="0.3">
      <c r="A68" s="19">
        <v>67</v>
      </c>
      <c r="B68" s="20" t="s">
        <v>223</v>
      </c>
      <c r="C68" s="20" t="s">
        <v>189</v>
      </c>
      <c r="D68" s="20" t="s">
        <v>17</v>
      </c>
      <c r="E68" s="19">
        <v>25</v>
      </c>
      <c r="F68" s="19" t="b">
        <v>0</v>
      </c>
      <c r="G68" s="19">
        <v>0</v>
      </c>
      <c r="H68" s="20" t="s">
        <v>224</v>
      </c>
      <c r="I68" s="20" t="s">
        <v>14</v>
      </c>
      <c r="J68" s="19" t="s">
        <v>225</v>
      </c>
    </row>
    <row r="69" spans="1:10" ht="15" customHeight="1" x14ac:dyDescent="0.3">
      <c r="A69" s="19">
        <v>68</v>
      </c>
      <c r="B69" s="20" t="s">
        <v>226</v>
      </c>
      <c r="C69" s="20" t="s">
        <v>189</v>
      </c>
      <c r="D69" s="20" t="s">
        <v>21</v>
      </c>
      <c r="E69" s="19">
        <v>8</v>
      </c>
      <c r="F69" s="19" t="b">
        <v>0</v>
      </c>
      <c r="G69" s="19">
        <v>0</v>
      </c>
      <c r="H69" s="20" t="s">
        <v>227</v>
      </c>
      <c r="I69" s="20" t="s">
        <v>14</v>
      </c>
      <c r="J69" s="19" t="s">
        <v>228</v>
      </c>
    </row>
    <row r="70" spans="1:10" ht="15" customHeight="1" x14ac:dyDescent="0.3">
      <c r="A70" s="19">
        <v>69</v>
      </c>
      <c r="B70" s="20" t="s">
        <v>229</v>
      </c>
      <c r="C70" s="20" t="s">
        <v>11</v>
      </c>
      <c r="D70" s="20" t="s">
        <v>12</v>
      </c>
      <c r="E70" s="19">
        <v>70</v>
      </c>
      <c r="F70" s="19" t="b">
        <v>0</v>
      </c>
      <c r="G70" s="19">
        <v>0</v>
      </c>
      <c r="H70" s="20" t="s">
        <v>230</v>
      </c>
      <c r="I70" s="20" t="s">
        <v>14</v>
      </c>
      <c r="J70" s="19" t="s">
        <v>231</v>
      </c>
    </row>
    <row r="71" spans="1:10" ht="15" customHeight="1" x14ac:dyDescent="0.3">
      <c r="A71" s="19">
        <v>70</v>
      </c>
      <c r="B71" s="20" t="s">
        <v>232</v>
      </c>
      <c r="C71" s="20" t="s">
        <v>11</v>
      </c>
      <c r="D71" s="20" t="s">
        <v>17</v>
      </c>
      <c r="E71" s="19">
        <v>25</v>
      </c>
      <c r="F71" s="19" t="b">
        <v>0</v>
      </c>
      <c r="G71" s="19">
        <v>0</v>
      </c>
      <c r="H71" s="20" t="s">
        <v>233</v>
      </c>
      <c r="I71" s="20" t="s">
        <v>14</v>
      </c>
      <c r="J71" s="19" t="s">
        <v>234</v>
      </c>
    </row>
    <row r="72" spans="1:10" ht="15" customHeight="1" x14ac:dyDescent="0.3">
      <c r="A72" s="19">
        <v>71</v>
      </c>
      <c r="B72" s="20" t="s">
        <v>235</v>
      </c>
      <c r="C72" s="20" t="s">
        <v>11</v>
      </c>
      <c r="D72" s="20" t="s">
        <v>21</v>
      </c>
      <c r="E72" s="19">
        <v>8</v>
      </c>
      <c r="F72" s="19" t="b">
        <v>0</v>
      </c>
      <c r="G72" s="19">
        <v>0</v>
      </c>
      <c r="H72" s="20" t="s">
        <v>236</v>
      </c>
      <c r="I72" s="20" t="s">
        <v>14</v>
      </c>
      <c r="J72" s="19" t="s">
        <v>237</v>
      </c>
    </row>
    <row r="73" spans="1:10" ht="15" customHeight="1" x14ac:dyDescent="0.3">
      <c r="A73" s="19">
        <v>72</v>
      </c>
      <c r="B73" s="20" t="s">
        <v>238</v>
      </c>
      <c r="C73" s="20" t="s">
        <v>35</v>
      </c>
      <c r="D73" s="20" t="s">
        <v>12</v>
      </c>
      <c r="E73" s="19">
        <v>70</v>
      </c>
      <c r="F73" s="19" t="b">
        <v>0</v>
      </c>
      <c r="G73" s="19">
        <v>0</v>
      </c>
      <c r="H73" s="20" t="s">
        <v>239</v>
      </c>
      <c r="I73" s="20" t="s">
        <v>14</v>
      </c>
      <c r="J73" s="19" t="s">
        <v>240</v>
      </c>
    </row>
    <row r="74" spans="1:10" ht="15" customHeight="1" x14ac:dyDescent="0.3">
      <c r="A74" s="19">
        <v>73</v>
      </c>
      <c r="B74" s="20" t="s">
        <v>241</v>
      </c>
      <c r="C74" s="20" t="s">
        <v>35</v>
      </c>
      <c r="D74" s="20" t="s">
        <v>17</v>
      </c>
      <c r="E74" s="19">
        <v>25</v>
      </c>
      <c r="F74" s="19" t="b">
        <v>0</v>
      </c>
      <c r="G74" s="19">
        <v>0</v>
      </c>
      <c r="H74" s="20" t="s">
        <v>242</v>
      </c>
      <c r="I74" s="20" t="s">
        <v>14</v>
      </c>
      <c r="J74" s="19" t="s">
        <v>243</v>
      </c>
    </row>
    <row r="75" spans="1:10" ht="15" customHeight="1" x14ac:dyDescent="0.3">
      <c r="A75" s="19">
        <v>74</v>
      </c>
      <c r="B75" s="20" t="s">
        <v>244</v>
      </c>
      <c r="C75" s="20" t="s">
        <v>245</v>
      </c>
      <c r="D75" s="20" t="s">
        <v>12</v>
      </c>
      <c r="E75" s="19">
        <v>70</v>
      </c>
      <c r="F75" s="19" t="b">
        <v>0</v>
      </c>
      <c r="G75" s="19">
        <v>0</v>
      </c>
      <c r="H75" s="20" t="s">
        <v>246</v>
      </c>
      <c r="I75" s="20" t="s">
        <v>14</v>
      </c>
      <c r="J75" s="19" t="s">
        <v>247</v>
      </c>
    </row>
    <row r="76" spans="1:10" ht="15" customHeight="1" x14ac:dyDescent="0.3">
      <c r="A76" s="19">
        <v>75</v>
      </c>
      <c r="B76" s="20" t="s">
        <v>248</v>
      </c>
      <c r="C76" s="20" t="s">
        <v>245</v>
      </c>
      <c r="D76" s="20" t="s">
        <v>17</v>
      </c>
      <c r="E76" s="19">
        <v>25</v>
      </c>
      <c r="F76" s="19" t="b">
        <v>0</v>
      </c>
      <c r="G76" s="19">
        <v>0</v>
      </c>
      <c r="H76" s="20" t="s">
        <v>249</v>
      </c>
      <c r="I76" s="20" t="s">
        <v>14</v>
      </c>
      <c r="J76" s="19" t="s">
        <v>250</v>
      </c>
    </row>
    <row r="77" spans="1:10" ht="15" customHeight="1" x14ac:dyDescent="0.3">
      <c r="A77" s="19">
        <v>76</v>
      </c>
      <c r="B77" s="20" t="s">
        <v>251</v>
      </c>
      <c r="C77" s="20" t="s">
        <v>245</v>
      </c>
      <c r="D77" s="20" t="s">
        <v>21</v>
      </c>
      <c r="E77" s="19">
        <v>8</v>
      </c>
      <c r="F77" s="19" t="b">
        <v>0</v>
      </c>
      <c r="G77" s="19">
        <v>0</v>
      </c>
      <c r="H77" s="20" t="s">
        <v>252</v>
      </c>
      <c r="I77" s="20" t="s">
        <v>14</v>
      </c>
      <c r="J77" s="19" t="s">
        <v>253</v>
      </c>
    </row>
    <row r="78" spans="1:10" ht="15" customHeight="1" x14ac:dyDescent="0.3">
      <c r="A78" s="19">
        <v>77</v>
      </c>
      <c r="B78" s="20" t="s">
        <v>254</v>
      </c>
      <c r="C78" s="20" t="s">
        <v>25</v>
      </c>
      <c r="D78" s="20" t="s">
        <v>12</v>
      </c>
      <c r="E78" s="19">
        <v>70</v>
      </c>
      <c r="F78" s="19" t="b">
        <v>0</v>
      </c>
      <c r="G78" s="19">
        <v>0</v>
      </c>
      <c r="H78" s="20" t="s">
        <v>255</v>
      </c>
      <c r="I78" s="20" t="s">
        <v>14</v>
      </c>
      <c r="J78" s="19" t="s">
        <v>256</v>
      </c>
    </row>
    <row r="79" spans="1:10" ht="15" customHeight="1" x14ac:dyDescent="0.3">
      <c r="A79" s="19">
        <v>78</v>
      </c>
      <c r="B79" s="20" t="s">
        <v>257</v>
      </c>
      <c r="C79" s="20" t="s">
        <v>25</v>
      </c>
      <c r="D79" s="20" t="s">
        <v>17</v>
      </c>
      <c r="E79" s="19">
        <v>25</v>
      </c>
      <c r="F79" s="19" t="b">
        <v>0</v>
      </c>
      <c r="G79" s="19">
        <v>0</v>
      </c>
      <c r="H79" s="20" t="s">
        <v>258</v>
      </c>
      <c r="I79" s="20" t="s">
        <v>14</v>
      </c>
      <c r="J79" s="19" t="s">
        <v>259</v>
      </c>
    </row>
    <row r="80" spans="1:10" ht="15" customHeight="1" x14ac:dyDescent="0.3">
      <c r="A80" s="19">
        <v>79</v>
      </c>
      <c r="B80" s="20" t="s">
        <v>260</v>
      </c>
      <c r="C80" s="20" t="s">
        <v>35</v>
      </c>
      <c r="D80" s="20" t="s">
        <v>12</v>
      </c>
      <c r="E80" s="19">
        <v>70</v>
      </c>
      <c r="F80" s="19" t="b">
        <v>0</v>
      </c>
      <c r="G80" s="19">
        <v>0</v>
      </c>
      <c r="H80" s="20" t="s">
        <v>261</v>
      </c>
      <c r="I80" s="20" t="s">
        <v>14</v>
      </c>
      <c r="J80" s="19" t="s">
        <v>262</v>
      </c>
    </row>
    <row r="81" spans="1:10" ht="15" customHeight="1" x14ac:dyDescent="0.3">
      <c r="A81" s="19">
        <v>80</v>
      </c>
      <c r="B81" s="20" t="s">
        <v>263</v>
      </c>
      <c r="C81" s="20" t="s">
        <v>35</v>
      </c>
      <c r="D81" s="20" t="s">
        <v>17</v>
      </c>
      <c r="E81" s="19">
        <v>25</v>
      </c>
      <c r="F81" s="19" t="b">
        <v>0</v>
      </c>
      <c r="G81" s="19">
        <v>0</v>
      </c>
      <c r="H81" s="20" t="s">
        <v>264</v>
      </c>
      <c r="I81" s="20" t="s">
        <v>14</v>
      </c>
      <c r="J81" s="19" t="s">
        <v>265</v>
      </c>
    </row>
    <row r="82" spans="1:10" ht="15" customHeight="1" x14ac:dyDescent="0.3">
      <c r="A82" s="19">
        <v>81</v>
      </c>
      <c r="B82" s="20" t="s">
        <v>266</v>
      </c>
      <c r="C82" s="20" t="s">
        <v>93</v>
      </c>
      <c r="D82" s="20" t="s">
        <v>12</v>
      </c>
      <c r="E82" s="19">
        <v>70</v>
      </c>
      <c r="F82" s="19" t="b">
        <v>0</v>
      </c>
      <c r="G82" s="19">
        <v>0</v>
      </c>
      <c r="H82" s="20" t="s">
        <v>267</v>
      </c>
      <c r="I82" s="20" t="s">
        <v>14</v>
      </c>
      <c r="J82" s="19" t="s">
        <v>268</v>
      </c>
    </row>
    <row r="83" spans="1:10" ht="15" customHeight="1" x14ac:dyDescent="0.3">
      <c r="A83" s="19">
        <v>82</v>
      </c>
      <c r="B83" s="20" t="s">
        <v>269</v>
      </c>
      <c r="C83" s="20" t="s">
        <v>93</v>
      </c>
      <c r="D83" s="20" t="s">
        <v>17</v>
      </c>
      <c r="E83" s="19">
        <v>25</v>
      </c>
      <c r="F83" s="19" t="b">
        <v>0</v>
      </c>
      <c r="G83" s="19">
        <v>0</v>
      </c>
      <c r="H83" s="20" t="s">
        <v>270</v>
      </c>
      <c r="I83" s="20" t="s">
        <v>14</v>
      </c>
      <c r="J83" s="19" t="s">
        <v>271</v>
      </c>
    </row>
    <row r="84" spans="1:10" ht="15" customHeight="1" x14ac:dyDescent="0.3">
      <c r="A84" s="19">
        <v>83</v>
      </c>
      <c r="B84" s="20" t="s">
        <v>272</v>
      </c>
      <c r="C84" s="20" t="s">
        <v>64</v>
      </c>
      <c r="D84" s="20" t="s">
        <v>17</v>
      </c>
      <c r="E84" s="19">
        <v>25</v>
      </c>
      <c r="F84" s="19" t="b">
        <v>0</v>
      </c>
      <c r="G84" s="19">
        <v>0</v>
      </c>
      <c r="H84" s="20" t="s">
        <v>273</v>
      </c>
      <c r="I84" s="20" t="s">
        <v>14</v>
      </c>
      <c r="J84" s="19" t="s">
        <v>274</v>
      </c>
    </row>
    <row r="85" spans="1:10" ht="15" customHeight="1" x14ac:dyDescent="0.3">
      <c r="A85" s="19">
        <v>84</v>
      </c>
      <c r="B85" s="20" t="s">
        <v>275</v>
      </c>
      <c r="C85" s="20" t="s">
        <v>64</v>
      </c>
      <c r="D85" s="20" t="s">
        <v>12</v>
      </c>
      <c r="E85" s="19">
        <v>70</v>
      </c>
      <c r="F85" s="19" t="b">
        <v>0</v>
      </c>
      <c r="G85" s="19">
        <v>0</v>
      </c>
      <c r="H85" s="20" t="s">
        <v>276</v>
      </c>
      <c r="I85" s="20" t="s">
        <v>14</v>
      </c>
      <c r="J85" s="19" t="s">
        <v>277</v>
      </c>
    </row>
    <row r="86" spans="1:10" ht="15" customHeight="1" x14ac:dyDescent="0.3">
      <c r="A86" s="19">
        <v>85</v>
      </c>
      <c r="B86" s="20" t="s">
        <v>278</v>
      </c>
      <c r="C86" s="20" t="s">
        <v>64</v>
      </c>
      <c r="D86" s="20" t="s">
        <v>17</v>
      </c>
      <c r="E86" s="19">
        <v>25</v>
      </c>
      <c r="F86" s="19" t="b">
        <v>0</v>
      </c>
      <c r="G86" s="19">
        <v>0</v>
      </c>
      <c r="H86" s="20" t="s">
        <v>279</v>
      </c>
      <c r="I86" s="20" t="s">
        <v>14</v>
      </c>
      <c r="J86" s="19" t="s">
        <v>280</v>
      </c>
    </row>
    <row r="87" spans="1:10" ht="15" customHeight="1" x14ac:dyDescent="0.3">
      <c r="A87" s="19">
        <v>86</v>
      </c>
      <c r="B87" s="20" t="s">
        <v>281</v>
      </c>
      <c r="C87" s="20" t="s">
        <v>35</v>
      </c>
      <c r="D87" s="20" t="s">
        <v>12</v>
      </c>
      <c r="E87" s="19">
        <v>70</v>
      </c>
      <c r="F87" s="19" t="b">
        <v>0</v>
      </c>
      <c r="G87" s="19">
        <v>0</v>
      </c>
      <c r="H87" s="20" t="s">
        <v>282</v>
      </c>
      <c r="I87" s="20" t="s">
        <v>14</v>
      </c>
      <c r="J87" s="19" t="s">
        <v>283</v>
      </c>
    </row>
    <row r="88" spans="1:10" ht="15" customHeight="1" x14ac:dyDescent="0.3">
      <c r="A88" s="19">
        <v>87</v>
      </c>
      <c r="B88" s="20" t="s">
        <v>284</v>
      </c>
      <c r="C88" s="20" t="s">
        <v>35</v>
      </c>
      <c r="D88" s="20" t="s">
        <v>17</v>
      </c>
      <c r="E88" s="19">
        <v>25</v>
      </c>
      <c r="F88" s="19" t="b">
        <v>0</v>
      </c>
      <c r="G88" s="19">
        <v>0</v>
      </c>
      <c r="H88" s="20" t="s">
        <v>285</v>
      </c>
      <c r="I88" s="20" t="s">
        <v>14</v>
      </c>
      <c r="J88" s="19" t="s">
        <v>286</v>
      </c>
    </row>
    <row r="89" spans="1:10" ht="15" customHeight="1" x14ac:dyDescent="0.3">
      <c r="A89" s="19">
        <v>88</v>
      </c>
      <c r="B89" s="20" t="s">
        <v>287</v>
      </c>
      <c r="C89" s="20" t="s">
        <v>86</v>
      </c>
      <c r="D89" s="20" t="s">
        <v>12</v>
      </c>
      <c r="E89" s="19">
        <v>70</v>
      </c>
      <c r="F89" s="19" t="b">
        <v>0</v>
      </c>
      <c r="G89" s="19">
        <v>0</v>
      </c>
      <c r="H89" s="20" t="s">
        <v>288</v>
      </c>
      <c r="I89" s="20" t="s">
        <v>14</v>
      </c>
      <c r="J89" s="19" t="s">
        <v>289</v>
      </c>
    </row>
    <row r="90" spans="1:10" ht="15" customHeight="1" x14ac:dyDescent="0.3">
      <c r="A90" s="19">
        <v>89</v>
      </c>
      <c r="B90" s="20" t="s">
        <v>290</v>
      </c>
      <c r="C90" s="20" t="s">
        <v>86</v>
      </c>
      <c r="D90" s="20" t="s">
        <v>17</v>
      </c>
      <c r="E90" s="19">
        <v>25</v>
      </c>
      <c r="F90" s="19" t="b">
        <v>0</v>
      </c>
      <c r="G90" s="19">
        <v>0</v>
      </c>
      <c r="H90" s="20" t="s">
        <v>291</v>
      </c>
      <c r="I90" s="20" t="s">
        <v>14</v>
      </c>
      <c r="J90" s="19" t="s">
        <v>292</v>
      </c>
    </row>
    <row r="91" spans="1:10" ht="15" customHeight="1" x14ac:dyDescent="0.3">
      <c r="A91" s="19">
        <v>90</v>
      </c>
      <c r="B91" s="20" t="s">
        <v>293</v>
      </c>
      <c r="C91" s="20" t="s">
        <v>35</v>
      </c>
      <c r="D91" s="20" t="s">
        <v>12</v>
      </c>
      <c r="E91" s="19">
        <v>70</v>
      </c>
      <c r="F91" s="19" t="b">
        <v>0</v>
      </c>
      <c r="G91" s="19">
        <v>0</v>
      </c>
      <c r="H91" s="20" t="s">
        <v>294</v>
      </c>
      <c r="I91" s="20" t="s">
        <v>14</v>
      </c>
      <c r="J91" s="19" t="s">
        <v>295</v>
      </c>
    </row>
    <row r="92" spans="1:10" ht="15" customHeight="1" x14ac:dyDescent="0.3">
      <c r="A92" s="19">
        <v>91</v>
      </c>
      <c r="B92" s="20" t="s">
        <v>296</v>
      </c>
      <c r="C92" s="20" t="s">
        <v>35</v>
      </c>
      <c r="D92" s="20" t="s">
        <v>21</v>
      </c>
      <c r="E92" s="19">
        <v>8</v>
      </c>
      <c r="F92" s="19" t="b">
        <v>0</v>
      </c>
      <c r="G92" s="19">
        <v>0</v>
      </c>
      <c r="H92" s="20" t="s">
        <v>297</v>
      </c>
      <c r="I92" s="20" t="s">
        <v>14</v>
      </c>
      <c r="J92" s="19" t="s">
        <v>298</v>
      </c>
    </row>
    <row r="93" spans="1:10" ht="15" customHeight="1" x14ac:dyDescent="0.3">
      <c r="A93" s="19">
        <v>92</v>
      </c>
      <c r="B93" s="20" t="s">
        <v>299</v>
      </c>
      <c r="C93" s="20" t="s">
        <v>300</v>
      </c>
      <c r="D93" s="20" t="s">
        <v>12</v>
      </c>
      <c r="E93" s="19">
        <v>70</v>
      </c>
      <c r="F93" s="19" t="b">
        <v>0</v>
      </c>
      <c r="G93" s="19">
        <v>0</v>
      </c>
      <c r="H93" s="20" t="s">
        <v>301</v>
      </c>
      <c r="I93" s="20" t="s">
        <v>14</v>
      </c>
      <c r="J93" s="19" t="s">
        <v>302</v>
      </c>
    </row>
    <row r="94" spans="1:10" ht="15" customHeight="1" x14ac:dyDescent="0.3">
      <c r="A94" s="19">
        <v>93</v>
      </c>
      <c r="B94" s="20" t="s">
        <v>303</v>
      </c>
      <c r="C94" s="20" t="s">
        <v>300</v>
      </c>
      <c r="D94" s="20" t="s">
        <v>17</v>
      </c>
      <c r="E94" s="19">
        <v>25</v>
      </c>
      <c r="F94" s="19" t="b">
        <v>0</v>
      </c>
      <c r="G94" s="19">
        <v>0</v>
      </c>
      <c r="H94" s="20" t="s">
        <v>304</v>
      </c>
      <c r="I94" s="20" t="s">
        <v>14</v>
      </c>
      <c r="J94" s="19" t="s">
        <v>305</v>
      </c>
    </row>
    <row r="95" spans="1:10" ht="15" customHeight="1" x14ac:dyDescent="0.3">
      <c r="A95" s="19">
        <v>94</v>
      </c>
      <c r="B95" s="20" t="s">
        <v>306</v>
      </c>
      <c r="C95" s="20" t="s">
        <v>300</v>
      </c>
      <c r="D95" s="20" t="s">
        <v>21</v>
      </c>
      <c r="E95" s="19">
        <v>8</v>
      </c>
      <c r="F95" s="19" t="b">
        <v>0</v>
      </c>
      <c r="G95" s="19">
        <v>0</v>
      </c>
      <c r="H95" s="20" t="s">
        <v>307</v>
      </c>
      <c r="I95" s="20" t="s">
        <v>14</v>
      </c>
      <c r="J95" s="19" t="s">
        <v>308</v>
      </c>
    </row>
    <row r="96" spans="1:10" ht="15" customHeight="1" x14ac:dyDescent="0.3">
      <c r="A96" s="19">
        <v>95</v>
      </c>
      <c r="B96" s="20" t="s">
        <v>309</v>
      </c>
      <c r="C96" s="20" t="s">
        <v>245</v>
      </c>
      <c r="D96" s="20" t="s">
        <v>17</v>
      </c>
      <c r="E96" s="19">
        <v>25</v>
      </c>
      <c r="F96" s="19" t="b">
        <v>0</v>
      </c>
      <c r="G96" s="19">
        <v>0</v>
      </c>
      <c r="H96" s="20" t="s">
        <v>310</v>
      </c>
      <c r="I96" s="20" t="s">
        <v>14</v>
      </c>
      <c r="J96" s="19" t="s">
        <v>311</v>
      </c>
    </row>
    <row r="97" spans="1:10" ht="15" customHeight="1" x14ac:dyDescent="0.3">
      <c r="A97" s="19">
        <v>96</v>
      </c>
      <c r="B97" s="20" t="s">
        <v>312</v>
      </c>
      <c r="C97" s="20" t="s">
        <v>211</v>
      </c>
      <c r="D97" s="20" t="s">
        <v>12</v>
      </c>
      <c r="E97" s="19">
        <v>70</v>
      </c>
      <c r="F97" s="19" t="b">
        <v>0</v>
      </c>
      <c r="G97" s="19">
        <v>0</v>
      </c>
      <c r="H97" s="20" t="s">
        <v>313</v>
      </c>
      <c r="I97" s="20" t="s">
        <v>14</v>
      </c>
      <c r="J97" s="19" t="s">
        <v>314</v>
      </c>
    </row>
    <row r="98" spans="1:10" ht="15" customHeight="1" x14ac:dyDescent="0.3">
      <c r="A98" s="19">
        <v>97</v>
      </c>
      <c r="B98" s="20" t="s">
        <v>315</v>
      </c>
      <c r="C98" s="20" t="s">
        <v>211</v>
      </c>
      <c r="D98" s="20" t="s">
        <v>17</v>
      </c>
      <c r="E98" s="19">
        <v>25</v>
      </c>
      <c r="F98" s="19" t="b">
        <v>0</v>
      </c>
      <c r="G98" s="19">
        <v>0</v>
      </c>
      <c r="H98" s="20" t="s">
        <v>316</v>
      </c>
      <c r="I98" s="20" t="s">
        <v>14</v>
      </c>
      <c r="J98" s="19" t="s">
        <v>317</v>
      </c>
    </row>
    <row r="99" spans="1:10" ht="15" customHeight="1" x14ac:dyDescent="0.3">
      <c r="A99" s="19">
        <v>98</v>
      </c>
      <c r="B99" s="20" t="s">
        <v>318</v>
      </c>
      <c r="C99" s="20" t="s">
        <v>35</v>
      </c>
      <c r="D99" s="20" t="s">
        <v>12</v>
      </c>
      <c r="E99" s="19">
        <v>70</v>
      </c>
      <c r="F99" s="19" t="b">
        <v>0</v>
      </c>
      <c r="G99" s="19">
        <v>0</v>
      </c>
      <c r="H99" s="20" t="s">
        <v>319</v>
      </c>
      <c r="I99" s="20" t="s">
        <v>14</v>
      </c>
      <c r="J99" s="19" t="s">
        <v>320</v>
      </c>
    </row>
    <row r="100" spans="1:10" ht="15" customHeight="1" x14ac:dyDescent="0.3">
      <c r="A100" s="19">
        <v>99</v>
      </c>
      <c r="B100" s="20" t="s">
        <v>321</v>
      </c>
      <c r="C100" s="20" t="s">
        <v>35</v>
      </c>
      <c r="D100" s="20" t="s">
        <v>17</v>
      </c>
      <c r="E100" s="19">
        <v>25</v>
      </c>
      <c r="F100" s="19" t="b">
        <v>0</v>
      </c>
      <c r="G100" s="19">
        <v>0</v>
      </c>
      <c r="H100" s="20" t="s">
        <v>322</v>
      </c>
      <c r="I100" s="20" t="s">
        <v>14</v>
      </c>
      <c r="J100" s="19" t="s">
        <v>323</v>
      </c>
    </row>
    <row r="101" spans="1:10" ht="15" customHeight="1" x14ac:dyDescent="0.3">
      <c r="A101" s="19">
        <v>100</v>
      </c>
      <c r="B101" s="20" t="s">
        <v>324</v>
      </c>
      <c r="C101" s="20" t="s">
        <v>93</v>
      </c>
      <c r="D101" s="20" t="s">
        <v>12</v>
      </c>
      <c r="E101" s="19">
        <v>70</v>
      </c>
      <c r="F101" s="19" t="b">
        <v>0</v>
      </c>
      <c r="G101" s="19">
        <v>0</v>
      </c>
      <c r="H101" s="20" t="s">
        <v>325</v>
      </c>
      <c r="I101" s="20" t="s">
        <v>14</v>
      </c>
      <c r="J101" s="19" t="s">
        <v>326</v>
      </c>
    </row>
    <row r="102" spans="1:10" ht="15" customHeight="1" x14ac:dyDescent="0.3">
      <c r="A102" s="19">
        <v>101</v>
      </c>
      <c r="B102" s="20" t="s">
        <v>327</v>
      </c>
      <c r="C102" s="20" t="s">
        <v>93</v>
      </c>
      <c r="D102" s="20" t="s">
        <v>17</v>
      </c>
      <c r="E102" s="19">
        <v>25</v>
      </c>
      <c r="F102" s="19" t="b">
        <v>0</v>
      </c>
      <c r="G102" s="19">
        <v>0</v>
      </c>
      <c r="H102" s="20" t="s">
        <v>328</v>
      </c>
      <c r="I102" s="20" t="s">
        <v>14</v>
      </c>
      <c r="J102" s="19" t="s">
        <v>329</v>
      </c>
    </row>
    <row r="103" spans="1:10" ht="15" customHeight="1" x14ac:dyDescent="0.3">
      <c r="A103" s="19">
        <v>102</v>
      </c>
      <c r="B103" s="20" t="s">
        <v>330</v>
      </c>
      <c r="C103" s="20" t="s">
        <v>11</v>
      </c>
      <c r="D103" s="20" t="s">
        <v>12</v>
      </c>
      <c r="E103" s="19">
        <v>70</v>
      </c>
      <c r="F103" s="19" t="b">
        <v>0</v>
      </c>
      <c r="G103" s="19">
        <v>0</v>
      </c>
      <c r="H103" s="20" t="s">
        <v>331</v>
      </c>
      <c r="I103" s="20" t="s">
        <v>14</v>
      </c>
      <c r="J103" s="19" t="s">
        <v>332</v>
      </c>
    </row>
    <row r="104" spans="1:10" ht="15" customHeight="1" x14ac:dyDescent="0.3">
      <c r="A104" s="19">
        <v>103</v>
      </c>
      <c r="B104" s="20" t="s">
        <v>333</v>
      </c>
      <c r="C104" s="20" t="s">
        <v>11</v>
      </c>
      <c r="D104" s="20" t="s">
        <v>21</v>
      </c>
      <c r="E104" s="19">
        <v>8</v>
      </c>
      <c r="F104" s="19" t="b">
        <v>0</v>
      </c>
      <c r="G104" s="19">
        <v>0</v>
      </c>
      <c r="H104" s="20" t="s">
        <v>334</v>
      </c>
      <c r="I104" s="20" t="s">
        <v>14</v>
      </c>
      <c r="J104" s="19" t="s">
        <v>335</v>
      </c>
    </row>
    <row r="105" spans="1:10" ht="15" customHeight="1" x14ac:dyDescent="0.3">
      <c r="A105" s="19">
        <v>104</v>
      </c>
      <c r="B105" s="20" t="s">
        <v>336</v>
      </c>
      <c r="C105" s="20" t="s">
        <v>100</v>
      </c>
      <c r="D105" s="20" t="s">
        <v>12</v>
      </c>
      <c r="E105" s="19">
        <v>70</v>
      </c>
      <c r="F105" s="19" t="b">
        <v>0</v>
      </c>
      <c r="G105" s="19">
        <v>0</v>
      </c>
      <c r="H105" s="20" t="s">
        <v>337</v>
      </c>
      <c r="I105" s="20" t="s">
        <v>14</v>
      </c>
      <c r="J105" s="19" t="s">
        <v>338</v>
      </c>
    </row>
    <row r="106" spans="1:10" ht="15" customHeight="1" x14ac:dyDescent="0.3">
      <c r="A106" s="19">
        <v>105</v>
      </c>
      <c r="B106" s="20" t="s">
        <v>339</v>
      </c>
      <c r="C106" s="20" t="s">
        <v>100</v>
      </c>
      <c r="D106" s="20" t="s">
        <v>17</v>
      </c>
      <c r="E106" s="19">
        <v>25</v>
      </c>
      <c r="F106" s="19" t="b">
        <v>0</v>
      </c>
      <c r="G106" s="19">
        <v>0</v>
      </c>
      <c r="H106" s="20" t="s">
        <v>340</v>
      </c>
      <c r="I106" s="20" t="s">
        <v>14</v>
      </c>
      <c r="J106" s="19" t="s">
        <v>341</v>
      </c>
    </row>
    <row r="107" spans="1:10" ht="15" customHeight="1" x14ac:dyDescent="0.3">
      <c r="A107" s="19">
        <v>106</v>
      </c>
      <c r="B107" s="20" t="s">
        <v>342</v>
      </c>
      <c r="C107" s="20" t="s">
        <v>189</v>
      </c>
      <c r="D107" s="20" t="s">
        <v>17</v>
      </c>
      <c r="E107" s="19">
        <v>25</v>
      </c>
      <c r="F107" s="19" t="b">
        <v>0</v>
      </c>
      <c r="G107" s="19">
        <v>0</v>
      </c>
      <c r="H107" s="20" t="s">
        <v>343</v>
      </c>
      <c r="I107" s="20" t="s">
        <v>14</v>
      </c>
      <c r="J107" s="19" t="s">
        <v>344</v>
      </c>
    </row>
    <row r="108" spans="1:10" ht="15" customHeight="1" x14ac:dyDescent="0.3">
      <c r="A108" s="19">
        <v>107</v>
      </c>
      <c r="B108" s="20" t="s">
        <v>345</v>
      </c>
      <c r="C108" s="20" t="s">
        <v>189</v>
      </c>
      <c r="D108" s="20" t="s">
        <v>17</v>
      </c>
      <c r="E108" s="19">
        <v>25</v>
      </c>
      <c r="F108" s="19" t="b">
        <v>0</v>
      </c>
      <c r="G108" s="19">
        <v>0</v>
      </c>
      <c r="H108" s="20" t="s">
        <v>346</v>
      </c>
      <c r="I108" s="20" t="s">
        <v>14</v>
      </c>
      <c r="J108" s="19" t="s">
        <v>347</v>
      </c>
    </row>
    <row r="109" spans="1:10" ht="15" customHeight="1" x14ac:dyDescent="0.3">
      <c r="A109" s="19">
        <v>108</v>
      </c>
      <c r="B109" s="20" t="s">
        <v>348</v>
      </c>
      <c r="C109" s="20" t="s">
        <v>64</v>
      </c>
      <c r="D109" s="20" t="s">
        <v>17</v>
      </c>
      <c r="E109" s="19">
        <v>25</v>
      </c>
      <c r="F109" s="19" t="b">
        <v>0</v>
      </c>
      <c r="G109" s="19">
        <v>0</v>
      </c>
      <c r="H109" s="20" t="s">
        <v>349</v>
      </c>
      <c r="I109" s="20" t="s">
        <v>14</v>
      </c>
      <c r="J109" s="19" t="s">
        <v>350</v>
      </c>
    </row>
    <row r="110" spans="1:10" ht="15" customHeight="1" x14ac:dyDescent="0.3">
      <c r="A110" s="19">
        <v>109</v>
      </c>
      <c r="B110" s="20" t="s">
        <v>351</v>
      </c>
      <c r="C110" s="20" t="s">
        <v>86</v>
      </c>
      <c r="D110" s="20" t="s">
        <v>12</v>
      </c>
      <c r="E110" s="19">
        <v>70</v>
      </c>
      <c r="F110" s="19" t="b">
        <v>0</v>
      </c>
      <c r="G110" s="19">
        <v>0</v>
      </c>
      <c r="H110" s="20" t="s">
        <v>352</v>
      </c>
      <c r="I110" s="20" t="s">
        <v>14</v>
      </c>
      <c r="J110" s="19" t="s">
        <v>353</v>
      </c>
    </row>
    <row r="111" spans="1:10" ht="15" customHeight="1" x14ac:dyDescent="0.3">
      <c r="A111" s="19">
        <v>110</v>
      </c>
      <c r="B111" s="20" t="s">
        <v>354</v>
      </c>
      <c r="C111" s="20" t="s">
        <v>86</v>
      </c>
      <c r="D111" s="20" t="s">
        <v>17</v>
      </c>
      <c r="E111" s="19">
        <v>25</v>
      </c>
      <c r="F111" s="19" t="b">
        <v>0</v>
      </c>
      <c r="G111" s="19">
        <v>0</v>
      </c>
      <c r="H111" s="20" t="s">
        <v>355</v>
      </c>
      <c r="I111" s="20" t="s">
        <v>14</v>
      </c>
      <c r="J111" s="19" t="s">
        <v>356</v>
      </c>
    </row>
    <row r="112" spans="1:10" ht="15" customHeight="1" x14ac:dyDescent="0.3">
      <c r="A112" s="19">
        <v>111</v>
      </c>
      <c r="B112" s="20" t="s">
        <v>357</v>
      </c>
      <c r="C112" s="20" t="s">
        <v>100</v>
      </c>
      <c r="D112" s="20" t="s">
        <v>12</v>
      </c>
      <c r="E112" s="19">
        <v>70</v>
      </c>
      <c r="F112" s="19" t="b">
        <v>0</v>
      </c>
      <c r="G112" s="19">
        <v>0</v>
      </c>
      <c r="H112" s="20" t="s">
        <v>358</v>
      </c>
      <c r="I112" s="20" t="s">
        <v>14</v>
      </c>
      <c r="J112" s="19" t="s">
        <v>359</v>
      </c>
    </row>
    <row r="113" spans="1:10" ht="15" customHeight="1" x14ac:dyDescent="0.3">
      <c r="A113" s="19">
        <v>112</v>
      </c>
      <c r="B113" s="20" t="s">
        <v>360</v>
      </c>
      <c r="C113" s="20" t="s">
        <v>100</v>
      </c>
      <c r="D113" s="20" t="s">
        <v>17</v>
      </c>
      <c r="E113" s="19">
        <v>25</v>
      </c>
      <c r="F113" s="19" t="b">
        <v>0</v>
      </c>
      <c r="G113" s="19">
        <v>0</v>
      </c>
      <c r="H113" s="20" t="s">
        <v>361</v>
      </c>
      <c r="I113" s="20" t="s">
        <v>14</v>
      </c>
      <c r="J113" s="19" t="s">
        <v>362</v>
      </c>
    </row>
    <row r="114" spans="1:10" ht="15" customHeight="1" x14ac:dyDescent="0.3">
      <c r="A114" s="19">
        <v>113</v>
      </c>
      <c r="B114" s="20" t="s">
        <v>363</v>
      </c>
      <c r="C114" s="20" t="s">
        <v>64</v>
      </c>
      <c r="D114" s="20" t="s">
        <v>21</v>
      </c>
      <c r="E114" s="19">
        <v>8</v>
      </c>
      <c r="F114" s="19" t="b">
        <v>0</v>
      </c>
      <c r="G114" s="19">
        <v>0</v>
      </c>
      <c r="H114" s="20" t="s">
        <v>364</v>
      </c>
      <c r="I114" s="20" t="s">
        <v>14</v>
      </c>
      <c r="J114" s="19" t="s">
        <v>365</v>
      </c>
    </row>
    <row r="115" spans="1:10" ht="15" customHeight="1" x14ac:dyDescent="0.3">
      <c r="A115" s="19">
        <v>114</v>
      </c>
      <c r="B115" s="20" t="s">
        <v>366</v>
      </c>
      <c r="C115" s="20" t="s">
        <v>11</v>
      </c>
      <c r="D115" s="20" t="s">
        <v>17</v>
      </c>
      <c r="E115" s="19">
        <v>25</v>
      </c>
      <c r="F115" s="19" t="b">
        <v>0</v>
      </c>
      <c r="G115" s="19">
        <v>0</v>
      </c>
      <c r="H115" s="20" t="s">
        <v>367</v>
      </c>
      <c r="I115" s="20" t="s">
        <v>14</v>
      </c>
      <c r="J115" s="19" t="s">
        <v>368</v>
      </c>
    </row>
    <row r="116" spans="1:10" ht="15" customHeight="1" x14ac:dyDescent="0.3">
      <c r="A116" s="19">
        <v>115</v>
      </c>
      <c r="B116" s="20" t="s">
        <v>369</v>
      </c>
      <c r="C116" s="20" t="s">
        <v>64</v>
      </c>
      <c r="D116" s="20" t="s">
        <v>21</v>
      </c>
      <c r="E116" s="19">
        <v>8</v>
      </c>
      <c r="F116" s="19" t="b">
        <v>0</v>
      </c>
      <c r="G116" s="19">
        <v>0</v>
      </c>
      <c r="H116" s="20" t="s">
        <v>370</v>
      </c>
      <c r="I116" s="20" t="s">
        <v>14</v>
      </c>
      <c r="J116" s="19" t="s">
        <v>371</v>
      </c>
    </row>
    <row r="117" spans="1:10" ht="15" customHeight="1" x14ac:dyDescent="0.3">
      <c r="A117" s="19">
        <v>116</v>
      </c>
      <c r="B117" s="20" t="s">
        <v>372</v>
      </c>
      <c r="C117" s="20" t="s">
        <v>35</v>
      </c>
      <c r="D117" s="20" t="s">
        <v>12</v>
      </c>
      <c r="E117" s="19">
        <v>70</v>
      </c>
      <c r="F117" s="19" t="b">
        <v>0</v>
      </c>
      <c r="G117" s="19">
        <v>0</v>
      </c>
      <c r="H117" s="20" t="s">
        <v>373</v>
      </c>
      <c r="I117" s="20" t="s">
        <v>14</v>
      </c>
      <c r="J117" s="19" t="s">
        <v>374</v>
      </c>
    </row>
    <row r="118" spans="1:10" ht="15" customHeight="1" x14ac:dyDescent="0.3">
      <c r="A118" s="19">
        <v>117</v>
      </c>
      <c r="B118" s="20" t="s">
        <v>375</v>
      </c>
      <c r="C118" s="20" t="s">
        <v>35</v>
      </c>
      <c r="D118" s="20" t="s">
        <v>17</v>
      </c>
      <c r="E118" s="19">
        <v>25</v>
      </c>
      <c r="F118" s="19" t="b">
        <v>0</v>
      </c>
      <c r="G118" s="19">
        <v>0</v>
      </c>
      <c r="H118" s="20" t="s">
        <v>376</v>
      </c>
      <c r="I118" s="20" t="s">
        <v>14</v>
      </c>
      <c r="J118" s="19" t="s">
        <v>377</v>
      </c>
    </row>
    <row r="119" spans="1:10" ht="15" customHeight="1" x14ac:dyDescent="0.3">
      <c r="A119" s="19">
        <v>118</v>
      </c>
      <c r="B119" s="20" t="s">
        <v>378</v>
      </c>
      <c r="C119" s="20" t="s">
        <v>35</v>
      </c>
      <c r="D119" s="20" t="s">
        <v>12</v>
      </c>
      <c r="E119" s="19">
        <v>70</v>
      </c>
      <c r="F119" s="19" t="b">
        <v>0</v>
      </c>
      <c r="G119" s="19">
        <v>0</v>
      </c>
      <c r="H119" s="20" t="s">
        <v>379</v>
      </c>
      <c r="I119" s="20" t="s">
        <v>14</v>
      </c>
      <c r="J119" s="19" t="s">
        <v>380</v>
      </c>
    </row>
    <row r="120" spans="1:10" ht="15" customHeight="1" x14ac:dyDescent="0.3">
      <c r="A120" s="19">
        <v>119</v>
      </c>
      <c r="B120" s="20" t="s">
        <v>381</v>
      </c>
      <c r="C120" s="20" t="s">
        <v>35</v>
      </c>
      <c r="D120" s="20" t="s">
        <v>17</v>
      </c>
      <c r="E120" s="19">
        <v>25</v>
      </c>
      <c r="F120" s="19" t="b">
        <v>0</v>
      </c>
      <c r="G120" s="19">
        <v>0</v>
      </c>
      <c r="H120" s="20" t="s">
        <v>382</v>
      </c>
      <c r="I120" s="20" t="s">
        <v>14</v>
      </c>
      <c r="J120" s="19" t="s">
        <v>383</v>
      </c>
    </row>
    <row r="121" spans="1:10" ht="15" customHeight="1" x14ac:dyDescent="0.3">
      <c r="A121" s="19">
        <v>120</v>
      </c>
      <c r="B121" s="20" t="s">
        <v>384</v>
      </c>
      <c r="C121" s="20" t="s">
        <v>35</v>
      </c>
      <c r="D121" s="20" t="s">
        <v>12</v>
      </c>
      <c r="E121" s="19">
        <v>70</v>
      </c>
      <c r="F121" s="19" t="b">
        <v>0</v>
      </c>
      <c r="G121" s="19">
        <v>0</v>
      </c>
      <c r="H121" s="20" t="s">
        <v>385</v>
      </c>
      <c r="I121" s="20" t="s">
        <v>14</v>
      </c>
      <c r="J121" s="19" t="s">
        <v>386</v>
      </c>
    </row>
    <row r="122" spans="1:10" ht="15" customHeight="1" x14ac:dyDescent="0.3">
      <c r="A122" s="19">
        <v>121</v>
      </c>
      <c r="B122" s="20" t="s">
        <v>387</v>
      </c>
      <c r="C122" s="20" t="s">
        <v>35</v>
      </c>
      <c r="D122" s="20" t="s">
        <v>17</v>
      </c>
      <c r="E122" s="19">
        <v>25</v>
      </c>
      <c r="F122" s="19" t="b">
        <v>0</v>
      </c>
      <c r="G122" s="19">
        <v>0</v>
      </c>
      <c r="H122" s="20" t="s">
        <v>388</v>
      </c>
      <c r="I122" s="20" t="s">
        <v>14</v>
      </c>
      <c r="J122" s="19" t="s">
        <v>389</v>
      </c>
    </row>
    <row r="123" spans="1:10" ht="15" customHeight="1" x14ac:dyDescent="0.3">
      <c r="A123" s="19">
        <v>122</v>
      </c>
      <c r="B123" s="20" t="s">
        <v>390</v>
      </c>
      <c r="C123" s="20" t="s">
        <v>211</v>
      </c>
      <c r="D123" s="20" t="s">
        <v>17</v>
      </c>
      <c r="E123" s="19">
        <v>25</v>
      </c>
      <c r="F123" s="19" t="b">
        <v>0</v>
      </c>
      <c r="G123" s="19">
        <v>0</v>
      </c>
      <c r="H123" s="20" t="s">
        <v>391</v>
      </c>
      <c r="I123" s="20" t="s">
        <v>14</v>
      </c>
      <c r="J123" s="19" t="s">
        <v>392</v>
      </c>
    </row>
    <row r="124" spans="1:10" ht="15" customHeight="1" x14ac:dyDescent="0.3">
      <c r="A124" s="19">
        <v>123</v>
      </c>
      <c r="B124" s="20" t="s">
        <v>393</v>
      </c>
      <c r="C124" s="20" t="s">
        <v>45</v>
      </c>
      <c r="D124" s="20" t="s">
        <v>21</v>
      </c>
      <c r="E124" s="19">
        <v>8</v>
      </c>
      <c r="F124" s="19" t="b">
        <v>0</v>
      </c>
      <c r="G124" s="19">
        <v>0</v>
      </c>
      <c r="H124" s="20" t="s">
        <v>394</v>
      </c>
      <c r="I124" s="20" t="s">
        <v>14</v>
      </c>
      <c r="J124" s="19" t="s">
        <v>395</v>
      </c>
    </row>
    <row r="125" spans="1:10" ht="15" customHeight="1" x14ac:dyDescent="0.3">
      <c r="A125" s="19">
        <v>124</v>
      </c>
      <c r="B125" s="20" t="s">
        <v>396</v>
      </c>
      <c r="C125" s="20" t="s">
        <v>397</v>
      </c>
      <c r="D125" s="20" t="s">
        <v>17</v>
      </c>
      <c r="E125" s="19">
        <v>25</v>
      </c>
      <c r="F125" s="19" t="b">
        <v>0</v>
      </c>
      <c r="G125" s="19">
        <v>0</v>
      </c>
      <c r="H125" s="20" t="s">
        <v>398</v>
      </c>
      <c r="I125" s="20" t="s">
        <v>14</v>
      </c>
      <c r="J125" s="19" t="s">
        <v>399</v>
      </c>
    </row>
    <row r="126" spans="1:10" ht="15" customHeight="1" x14ac:dyDescent="0.3">
      <c r="A126" s="19">
        <v>125</v>
      </c>
      <c r="B126" s="20" t="s">
        <v>400</v>
      </c>
      <c r="C126" s="20" t="s">
        <v>93</v>
      </c>
      <c r="D126" s="20" t="s">
        <v>17</v>
      </c>
      <c r="E126" s="19">
        <v>25</v>
      </c>
      <c r="F126" s="19" t="b">
        <v>0</v>
      </c>
      <c r="G126" s="19">
        <v>0</v>
      </c>
      <c r="H126" s="20" t="s">
        <v>401</v>
      </c>
      <c r="I126" s="20" t="s">
        <v>14</v>
      </c>
      <c r="J126" s="19" t="s">
        <v>402</v>
      </c>
    </row>
    <row r="127" spans="1:10" ht="15" customHeight="1" x14ac:dyDescent="0.3">
      <c r="A127" s="19">
        <v>126</v>
      </c>
      <c r="B127" s="20" t="s">
        <v>403</v>
      </c>
      <c r="C127" s="20" t="s">
        <v>25</v>
      </c>
      <c r="D127" s="20" t="s">
        <v>17</v>
      </c>
      <c r="E127" s="19">
        <v>25</v>
      </c>
      <c r="F127" s="19" t="b">
        <v>0</v>
      </c>
      <c r="G127" s="19">
        <v>0</v>
      </c>
      <c r="H127" s="20" t="s">
        <v>404</v>
      </c>
      <c r="I127" s="20" t="s">
        <v>14</v>
      </c>
      <c r="J127" s="19" t="s">
        <v>405</v>
      </c>
    </row>
    <row r="128" spans="1:10" ht="15" customHeight="1" x14ac:dyDescent="0.3">
      <c r="A128" s="19">
        <v>127</v>
      </c>
      <c r="B128" s="20" t="s">
        <v>406</v>
      </c>
      <c r="C128" s="20" t="s">
        <v>45</v>
      </c>
      <c r="D128" s="20" t="s">
        <v>21</v>
      </c>
      <c r="E128" s="19">
        <v>8</v>
      </c>
      <c r="F128" s="19" t="b">
        <v>0</v>
      </c>
      <c r="G128" s="19">
        <v>0</v>
      </c>
      <c r="H128" s="20" t="s">
        <v>407</v>
      </c>
      <c r="I128" s="20" t="s">
        <v>14</v>
      </c>
      <c r="J128" s="19" t="s">
        <v>408</v>
      </c>
    </row>
    <row r="129" spans="1:10" ht="15" customHeight="1" x14ac:dyDescent="0.3">
      <c r="A129" s="19">
        <v>128</v>
      </c>
      <c r="B129" s="20" t="s">
        <v>409</v>
      </c>
      <c r="C129" s="20" t="s">
        <v>64</v>
      </c>
      <c r="D129" s="20" t="s">
        <v>17</v>
      </c>
      <c r="E129" s="19">
        <v>25</v>
      </c>
      <c r="F129" s="19" t="b">
        <v>0</v>
      </c>
      <c r="G129" s="19">
        <v>0</v>
      </c>
      <c r="H129" s="20" t="s">
        <v>410</v>
      </c>
      <c r="I129" s="20" t="s">
        <v>14</v>
      </c>
      <c r="J129" s="19" t="s">
        <v>411</v>
      </c>
    </row>
    <row r="130" spans="1:10" ht="15" customHeight="1" x14ac:dyDescent="0.3">
      <c r="A130" s="19">
        <v>129</v>
      </c>
      <c r="B130" s="20" t="s">
        <v>412</v>
      </c>
      <c r="C130" s="20" t="s">
        <v>35</v>
      </c>
      <c r="D130" s="20" t="s">
        <v>12</v>
      </c>
      <c r="E130" s="19">
        <v>70</v>
      </c>
      <c r="F130" s="19" t="b">
        <v>0</v>
      </c>
      <c r="G130" s="19">
        <v>0</v>
      </c>
      <c r="H130" s="20" t="s">
        <v>413</v>
      </c>
      <c r="I130" s="20" t="s">
        <v>14</v>
      </c>
      <c r="J130" s="19" t="s">
        <v>414</v>
      </c>
    </row>
    <row r="131" spans="1:10" ht="15" customHeight="1" x14ac:dyDescent="0.3">
      <c r="A131" s="19">
        <v>130</v>
      </c>
      <c r="B131" s="20" t="s">
        <v>415</v>
      </c>
      <c r="C131" s="20" t="s">
        <v>35</v>
      </c>
      <c r="D131" s="20" t="s">
        <v>21</v>
      </c>
      <c r="E131" s="19">
        <v>8</v>
      </c>
      <c r="F131" s="19" t="b">
        <v>0</v>
      </c>
      <c r="G131" s="19">
        <v>0</v>
      </c>
      <c r="H131" s="20" t="s">
        <v>416</v>
      </c>
      <c r="I131" s="20" t="s">
        <v>14</v>
      </c>
      <c r="J131" s="19" t="s">
        <v>417</v>
      </c>
    </row>
    <row r="132" spans="1:10" ht="15" customHeight="1" x14ac:dyDescent="0.3">
      <c r="A132" s="19">
        <v>131</v>
      </c>
      <c r="B132" s="20" t="s">
        <v>418</v>
      </c>
      <c r="C132" s="20" t="s">
        <v>35</v>
      </c>
      <c r="D132" s="20" t="s">
        <v>21</v>
      </c>
      <c r="E132" s="19">
        <v>8</v>
      </c>
      <c r="F132" s="19" t="b">
        <v>0</v>
      </c>
      <c r="G132" s="19">
        <v>0</v>
      </c>
      <c r="H132" s="20" t="s">
        <v>419</v>
      </c>
      <c r="I132" s="20" t="s">
        <v>14</v>
      </c>
      <c r="J132" s="19" t="s">
        <v>420</v>
      </c>
    </row>
    <row r="133" spans="1:10" ht="15" customHeight="1" x14ac:dyDescent="0.3">
      <c r="A133" s="19">
        <v>132</v>
      </c>
      <c r="B133" s="20" t="s">
        <v>421</v>
      </c>
      <c r="C133" s="20" t="s">
        <v>64</v>
      </c>
      <c r="D133" s="20" t="s">
        <v>17</v>
      </c>
      <c r="E133" s="19">
        <v>25</v>
      </c>
      <c r="F133" s="19" t="b">
        <v>0</v>
      </c>
      <c r="G133" s="19">
        <v>0</v>
      </c>
      <c r="H133" s="20" t="s">
        <v>422</v>
      </c>
      <c r="I133" s="20" t="s">
        <v>14</v>
      </c>
      <c r="J133" s="19" t="s">
        <v>423</v>
      </c>
    </row>
    <row r="134" spans="1:10" ht="15" customHeight="1" x14ac:dyDescent="0.3">
      <c r="A134" s="19">
        <v>133</v>
      </c>
      <c r="B134" s="20" t="s">
        <v>424</v>
      </c>
      <c r="C134" s="20" t="s">
        <v>64</v>
      </c>
      <c r="D134" s="20" t="s">
        <v>17</v>
      </c>
      <c r="E134" s="19">
        <v>25</v>
      </c>
      <c r="F134" s="19" t="b">
        <v>0</v>
      </c>
      <c r="G134" s="19">
        <v>0</v>
      </c>
      <c r="H134" s="20" t="s">
        <v>425</v>
      </c>
      <c r="I134" s="20" t="s">
        <v>14</v>
      </c>
      <c r="J134" s="19" t="s">
        <v>426</v>
      </c>
    </row>
    <row r="135" spans="1:10" ht="15" customHeight="1" x14ac:dyDescent="0.3">
      <c r="A135" s="19">
        <v>134</v>
      </c>
      <c r="B135" s="20" t="s">
        <v>427</v>
      </c>
      <c r="C135" s="20" t="s">
        <v>35</v>
      </c>
      <c r="D135" s="20" t="s">
        <v>21</v>
      </c>
      <c r="E135" s="19">
        <v>8</v>
      </c>
      <c r="F135" s="19" t="b">
        <v>0</v>
      </c>
      <c r="G135" s="19">
        <v>0</v>
      </c>
      <c r="H135" s="20" t="s">
        <v>428</v>
      </c>
      <c r="I135" s="20" t="s">
        <v>14</v>
      </c>
      <c r="J135" s="19" t="s">
        <v>429</v>
      </c>
    </row>
    <row r="136" spans="1:10" ht="15" customHeight="1" x14ac:dyDescent="0.3">
      <c r="A136" s="19">
        <v>135</v>
      </c>
      <c r="B136" s="20" t="s">
        <v>430</v>
      </c>
      <c r="C136" s="20" t="s">
        <v>93</v>
      </c>
      <c r="D136" s="20" t="s">
        <v>21</v>
      </c>
      <c r="E136" s="19">
        <v>8</v>
      </c>
      <c r="F136" s="19" t="b">
        <v>0</v>
      </c>
      <c r="G136" s="19">
        <v>0</v>
      </c>
      <c r="H136" s="20" t="s">
        <v>431</v>
      </c>
      <c r="I136" s="20" t="s">
        <v>14</v>
      </c>
      <c r="J136" s="19" t="s">
        <v>432</v>
      </c>
    </row>
    <row r="137" spans="1:10" ht="15" customHeight="1" x14ac:dyDescent="0.3">
      <c r="A137" s="19">
        <v>136</v>
      </c>
      <c r="B137" s="20" t="s">
        <v>433</v>
      </c>
      <c r="C137" s="20" t="s">
        <v>25</v>
      </c>
      <c r="D137" s="20" t="s">
        <v>21</v>
      </c>
      <c r="E137" s="19">
        <v>8</v>
      </c>
      <c r="F137" s="19" t="b">
        <v>0</v>
      </c>
      <c r="G137" s="19">
        <v>0</v>
      </c>
      <c r="H137" s="20" t="s">
        <v>434</v>
      </c>
      <c r="I137" s="20" t="s">
        <v>14</v>
      </c>
      <c r="J137" s="19" t="s">
        <v>435</v>
      </c>
    </row>
    <row r="138" spans="1:10" ht="15" customHeight="1" x14ac:dyDescent="0.3">
      <c r="A138" s="19">
        <v>137</v>
      </c>
      <c r="B138" s="20" t="s">
        <v>436</v>
      </c>
      <c r="C138" s="20" t="s">
        <v>64</v>
      </c>
      <c r="D138" s="20" t="s">
        <v>17</v>
      </c>
      <c r="E138" s="19">
        <v>25</v>
      </c>
      <c r="F138" s="19" t="b">
        <v>0</v>
      </c>
      <c r="G138" s="19">
        <v>0</v>
      </c>
      <c r="H138" s="20" t="s">
        <v>437</v>
      </c>
      <c r="I138" s="20" t="s">
        <v>14</v>
      </c>
      <c r="J138" s="19" t="s">
        <v>438</v>
      </c>
    </row>
    <row r="139" spans="1:10" ht="15" customHeight="1" x14ac:dyDescent="0.3">
      <c r="A139" s="19">
        <v>138</v>
      </c>
      <c r="B139" s="20" t="s">
        <v>439</v>
      </c>
      <c r="C139" s="20" t="s">
        <v>245</v>
      </c>
      <c r="D139" s="20" t="s">
        <v>12</v>
      </c>
      <c r="E139" s="19">
        <v>70</v>
      </c>
      <c r="F139" s="19" t="b">
        <v>0</v>
      </c>
      <c r="G139" s="19">
        <v>0</v>
      </c>
      <c r="H139" s="20" t="s">
        <v>440</v>
      </c>
      <c r="I139" s="20" t="s">
        <v>14</v>
      </c>
      <c r="J139" s="19" t="s">
        <v>441</v>
      </c>
    </row>
    <row r="140" spans="1:10" ht="15" customHeight="1" x14ac:dyDescent="0.3">
      <c r="A140" s="19">
        <v>139</v>
      </c>
      <c r="B140" s="20" t="s">
        <v>442</v>
      </c>
      <c r="C140" s="20" t="s">
        <v>245</v>
      </c>
      <c r="D140" s="20" t="s">
        <v>21</v>
      </c>
      <c r="E140" s="19">
        <v>8</v>
      </c>
      <c r="F140" s="19" t="b">
        <v>0</v>
      </c>
      <c r="G140" s="19">
        <v>0</v>
      </c>
      <c r="H140" s="20" t="s">
        <v>443</v>
      </c>
      <c r="I140" s="20" t="s">
        <v>14</v>
      </c>
      <c r="J140" s="19" t="s">
        <v>444</v>
      </c>
    </row>
    <row r="141" spans="1:10" ht="15" customHeight="1" x14ac:dyDescent="0.3">
      <c r="A141" s="19">
        <v>140</v>
      </c>
      <c r="B141" s="20" t="s">
        <v>445</v>
      </c>
      <c r="C141" s="20" t="s">
        <v>245</v>
      </c>
      <c r="D141" s="20" t="s">
        <v>12</v>
      </c>
      <c r="E141" s="19">
        <v>70</v>
      </c>
      <c r="F141" s="19" t="b">
        <v>0</v>
      </c>
      <c r="G141" s="19">
        <v>0</v>
      </c>
      <c r="H141" s="20" t="s">
        <v>446</v>
      </c>
      <c r="I141" s="20" t="s">
        <v>14</v>
      </c>
      <c r="J141" s="19" t="s">
        <v>447</v>
      </c>
    </row>
    <row r="142" spans="1:10" ht="15" customHeight="1" x14ac:dyDescent="0.3">
      <c r="A142" s="19">
        <v>141</v>
      </c>
      <c r="B142" s="20" t="s">
        <v>448</v>
      </c>
      <c r="C142" s="20" t="s">
        <v>245</v>
      </c>
      <c r="D142" s="20" t="s">
        <v>21</v>
      </c>
      <c r="E142" s="19">
        <v>8</v>
      </c>
      <c r="F142" s="19" t="b">
        <v>0</v>
      </c>
      <c r="G142" s="19">
        <v>0</v>
      </c>
      <c r="H142" s="20" t="s">
        <v>449</v>
      </c>
      <c r="I142" s="20" t="s">
        <v>14</v>
      </c>
      <c r="J142" s="19" t="s">
        <v>450</v>
      </c>
    </row>
    <row r="143" spans="1:10" ht="15" customHeight="1" x14ac:dyDescent="0.3">
      <c r="A143" s="19">
        <v>142</v>
      </c>
      <c r="B143" s="20" t="s">
        <v>451</v>
      </c>
      <c r="C143" s="20" t="s">
        <v>245</v>
      </c>
      <c r="D143" s="20" t="s">
        <v>21</v>
      </c>
      <c r="E143" s="19">
        <v>8</v>
      </c>
      <c r="F143" s="19" t="b">
        <v>0</v>
      </c>
      <c r="G143" s="19">
        <v>0</v>
      </c>
      <c r="H143" s="20" t="s">
        <v>452</v>
      </c>
      <c r="I143" s="20" t="s">
        <v>14</v>
      </c>
      <c r="J143" s="19" t="s">
        <v>453</v>
      </c>
    </row>
    <row r="144" spans="1:10" ht="15" customHeight="1" x14ac:dyDescent="0.3">
      <c r="A144" s="19">
        <v>143</v>
      </c>
      <c r="B144" s="20" t="s">
        <v>454</v>
      </c>
      <c r="C144" s="20" t="s">
        <v>64</v>
      </c>
      <c r="D144" s="20" t="s">
        <v>21</v>
      </c>
      <c r="E144" s="19">
        <v>8</v>
      </c>
      <c r="F144" s="19" t="b">
        <v>0</v>
      </c>
      <c r="G144" s="19">
        <v>0</v>
      </c>
      <c r="H144" s="20" t="s">
        <v>455</v>
      </c>
      <c r="I144" s="20" t="s">
        <v>14</v>
      </c>
      <c r="J144" s="19" t="s">
        <v>456</v>
      </c>
    </row>
    <row r="145" spans="1:10" ht="15" customHeight="1" x14ac:dyDescent="0.3">
      <c r="A145" s="19">
        <v>144</v>
      </c>
      <c r="B145" s="20" t="s">
        <v>457</v>
      </c>
      <c r="C145" s="20" t="s">
        <v>397</v>
      </c>
      <c r="D145" s="20" t="s">
        <v>458</v>
      </c>
      <c r="E145" s="19">
        <v>2</v>
      </c>
      <c r="F145" s="19" t="b">
        <v>0</v>
      </c>
      <c r="G145" s="19">
        <v>0</v>
      </c>
      <c r="H145" s="20" t="s">
        <v>459</v>
      </c>
      <c r="I145" s="20" t="s">
        <v>14</v>
      </c>
      <c r="J145" s="19" t="s">
        <v>460</v>
      </c>
    </row>
    <row r="146" spans="1:10" ht="15" customHeight="1" x14ac:dyDescent="0.3">
      <c r="A146" s="19">
        <v>145</v>
      </c>
      <c r="B146" s="20" t="s">
        <v>461</v>
      </c>
      <c r="C146" s="20" t="s">
        <v>93</v>
      </c>
      <c r="D146" s="20" t="s">
        <v>458</v>
      </c>
      <c r="E146" s="19">
        <v>2</v>
      </c>
      <c r="F146" s="19" t="b">
        <v>0</v>
      </c>
      <c r="G146" s="19">
        <v>0</v>
      </c>
      <c r="H146" s="20" t="s">
        <v>462</v>
      </c>
      <c r="I146" s="20" t="s">
        <v>14</v>
      </c>
      <c r="J146" s="19" t="s">
        <v>463</v>
      </c>
    </row>
    <row r="147" spans="1:10" ht="15" customHeight="1" x14ac:dyDescent="0.3">
      <c r="A147" s="19">
        <v>146</v>
      </c>
      <c r="B147" s="20" t="s">
        <v>464</v>
      </c>
      <c r="C147" s="20" t="s">
        <v>25</v>
      </c>
      <c r="D147" s="20" t="s">
        <v>458</v>
      </c>
      <c r="E147" s="19">
        <v>2</v>
      </c>
      <c r="F147" s="19" t="b">
        <v>0</v>
      </c>
      <c r="G147" s="19">
        <v>0</v>
      </c>
      <c r="H147" s="20" t="s">
        <v>465</v>
      </c>
      <c r="I147" s="20" t="s">
        <v>14</v>
      </c>
      <c r="J147" s="19" t="s">
        <v>466</v>
      </c>
    </row>
    <row r="148" spans="1:10" ht="15" customHeight="1" x14ac:dyDescent="0.3">
      <c r="A148" s="19">
        <v>147</v>
      </c>
      <c r="B148" s="20" t="s">
        <v>467</v>
      </c>
      <c r="C148" s="20" t="s">
        <v>468</v>
      </c>
      <c r="D148" s="20" t="s">
        <v>12</v>
      </c>
      <c r="E148" s="19">
        <v>8</v>
      </c>
      <c r="F148" s="19" t="b">
        <v>0</v>
      </c>
      <c r="G148" s="19">
        <v>0</v>
      </c>
      <c r="H148" s="20" t="s">
        <v>469</v>
      </c>
      <c r="I148" s="20" t="s">
        <v>14</v>
      </c>
      <c r="J148" s="19" t="s">
        <v>470</v>
      </c>
    </row>
    <row r="149" spans="1:10" ht="15" customHeight="1" x14ac:dyDescent="0.3">
      <c r="A149" s="19">
        <v>148</v>
      </c>
      <c r="B149" s="20" t="s">
        <v>471</v>
      </c>
      <c r="C149" s="20" t="s">
        <v>468</v>
      </c>
      <c r="D149" s="20" t="s">
        <v>17</v>
      </c>
      <c r="E149" s="19">
        <v>8</v>
      </c>
      <c r="F149" s="19" t="b">
        <v>0</v>
      </c>
      <c r="G149" s="19">
        <v>0</v>
      </c>
      <c r="H149" s="20" t="s">
        <v>472</v>
      </c>
      <c r="I149" s="20" t="s">
        <v>14</v>
      </c>
      <c r="J149" s="19" t="s">
        <v>473</v>
      </c>
    </row>
    <row r="150" spans="1:10" ht="15" customHeight="1" x14ac:dyDescent="0.3">
      <c r="A150" s="19">
        <v>149</v>
      </c>
      <c r="B150" s="20" t="s">
        <v>474</v>
      </c>
      <c r="C150" s="20" t="s">
        <v>468</v>
      </c>
      <c r="D150" s="20" t="s">
        <v>21</v>
      </c>
      <c r="E150" s="19">
        <v>2</v>
      </c>
      <c r="F150" s="19" t="b">
        <v>0</v>
      </c>
      <c r="G150" s="19">
        <v>0</v>
      </c>
      <c r="H150" s="20" t="s">
        <v>475</v>
      </c>
      <c r="I150" s="20" t="s">
        <v>14</v>
      </c>
      <c r="J150" s="19" t="s">
        <v>476</v>
      </c>
    </row>
    <row r="151" spans="1:10" ht="15" customHeight="1" x14ac:dyDescent="0.3">
      <c r="A151" s="19">
        <v>150</v>
      </c>
      <c r="B151" s="20" t="s">
        <v>477</v>
      </c>
      <c r="C151" s="20" t="s">
        <v>211</v>
      </c>
      <c r="D151" s="20" t="s">
        <v>458</v>
      </c>
      <c r="E151" s="19">
        <v>2</v>
      </c>
      <c r="F151" s="19" t="b">
        <v>0</v>
      </c>
      <c r="G151" s="19">
        <v>0</v>
      </c>
      <c r="H151" s="20" t="s">
        <v>478</v>
      </c>
      <c r="I151" s="20" t="s">
        <v>14</v>
      </c>
      <c r="J151" s="19" t="s">
        <v>479</v>
      </c>
    </row>
    <row r="152" spans="1:10" ht="15" customHeight="1" x14ac:dyDescent="0.3">
      <c r="A152" s="19">
        <v>151</v>
      </c>
      <c r="B152" s="20" t="s">
        <v>480</v>
      </c>
      <c r="C152" s="20" t="s">
        <v>211</v>
      </c>
      <c r="D152" s="20" t="s">
        <v>458</v>
      </c>
      <c r="E152" s="19">
        <v>2</v>
      </c>
      <c r="F152" s="19" t="b">
        <v>0</v>
      </c>
      <c r="G152" s="19">
        <v>0</v>
      </c>
      <c r="H152" s="20" t="s">
        <v>481</v>
      </c>
      <c r="I152" s="20" t="s">
        <v>14</v>
      </c>
      <c r="J152" s="19" t="s">
        <v>482</v>
      </c>
    </row>
  </sheetData>
  <autoFilter ref="A1:K152" xr:uid="{00000000-0001-0000-0100-000000000000}"/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DBE6B-3717-4E2E-AAAE-E5FF37D0B8B2}">
  <dimension ref="A1:G26"/>
  <sheetViews>
    <sheetView showGridLines="0" tabSelected="1" zoomScale="90" zoomScaleNormal="90" workbookViewId="0">
      <selection activeCell="F13" sqref="F13"/>
    </sheetView>
  </sheetViews>
  <sheetFormatPr defaultColWidth="0" defaultRowHeight="14.4" zeroHeight="1" x14ac:dyDescent="0.3"/>
  <cols>
    <col min="1" max="7" width="8.88671875" customWidth="1"/>
    <col min="8" max="16384" width="8.88671875" hidden="1"/>
  </cols>
  <sheetData>
    <row r="1" spans="1:7" x14ac:dyDescent="0.3"/>
    <row r="2" spans="1:7" ht="39.6" customHeight="1" x14ac:dyDescent="0.3">
      <c r="A2" s="21" t="s">
        <v>514</v>
      </c>
      <c r="B2" s="21"/>
      <c r="C2" s="21"/>
      <c r="D2" s="21"/>
      <c r="E2" s="21"/>
      <c r="F2" s="21"/>
      <c r="G2" s="21"/>
    </row>
    <row r="3" spans="1:7" x14ac:dyDescent="0.3"/>
    <row r="4" spans="1:7" x14ac:dyDescent="0.3"/>
    <row r="5" spans="1:7" x14ac:dyDescent="0.3"/>
    <row r="6" spans="1:7" x14ac:dyDescent="0.3"/>
    <row r="7" spans="1:7" x14ac:dyDescent="0.3"/>
    <row r="8" spans="1:7" x14ac:dyDescent="0.3"/>
    <row r="9" spans="1:7" x14ac:dyDescent="0.3"/>
    <row r="10" spans="1:7" x14ac:dyDescent="0.3"/>
    <row r="11" spans="1:7" x14ac:dyDescent="0.3"/>
    <row r="12" spans="1:7" x14ac:dyDescent="0.3"/>
    <row r="13" spans="1:7" x14ac:dyDescent="0.3"/>
    <row r="14" spans="1:7" x14ac:dyDescent="0.3"/>
    <row r="15" spans="1:7" x14ac:dyDescent="0.3"/>
    <row r="16" spans="1:7" ht="18" x14ac:dyDescent="0.3">
      <c r="A16" s="22" t="s">
        <v>515</v>
      </c>
      <c r="B16" s="22"/>
      <c r="C16" s="22"/>
      <c r="D16" s="22"/>
      <c r="E16" s="22"/>
      <c r="F16" s="22"/>
      <c r="G16" s="22"/>
    </row>
    <row r="17" spans="2:5" x14ac:dyDescent="0.3"/>
    <row r="18" spans="2:5" x14ac:dyDescent="0.3"/>
    <row r="19" spans="2:5" x14ac:dyDescent="0.3"/>
    <row r="20" spans="2:5" x14ac:dyDescent="0.3"/>
    <row r="21" spans="2:5" x14ac:dyDescent="0.3"/>
    <row r="22" spans="2:5" x14ac:dyDescent="0.3"/>
    <row r="23" spans="2:5" x14ac:dyDescent="0.3"/>
    <row r="24" spans="2:5" x14ac:dyDescent="0.3"/>
    <row r="25" spans="2:5" ht="19.8" x14ac:dyDescent="0.3">
      <c r="B25" s="21" t="s">
        <v>516</v>
      </c>
      <c r="C25" s="21"/>
      <c r="D25" s="21"/>
      <c r="E25" s="21"/>
    </row>
    <row r="26" spans="2:5" x14ac:dyDescent="0.3"/>
  </sheetData>
  <sheetProtection sheet="1" objects="1" scenarios="1"/>
  <mergeCells count="3">
    <mergeCell ref="A2:G2"/>
    <mergeCell ref="B25:E25"/>
    <mergeCell ref="A16:G16"/>
  </mergeCells>
  <hyperlinks>
    <hyperlink ref="A16" r:id="rId1" display="https://streamlabs.com/entredittos/tip" xr:uid="{79881E7E-295E-4DD8-934F-4B365741A99E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36"/>
  <sheetViews>
    <sheetView showGridLines="0" zoomScaleNormal="100" workbookViewId="0">
      <pane ySplit="1" topLeftCell="A2" activePane="bottomLeft" state="frozen"/>
      <selection pane="bottomLeft" activeCell="B2" sqref="B2:F2"/>
    </sheetView>
  </sheetViews>
  <sheetFormatPr defaultColWidth="0" defaultRowHeight="13.8" zeroHeight="1" x14ac:dyDescent="0.3"/>
  <cols>
    <col min="1" max="1" width="5.77734375" style="2" customWidth="1"/>
    <col min="2" max="2" width="20" style="2" customWidth="1"/>
    <col min="3" max="3" width="3" style="2" customWidth="1"/>
    <col min="4" max="4" width="20" style="2" customWidth="1"/>
    <col min="5" max="5" width="3" style="2" customWidth="1"/>
    <col min="6" max="6" width="20" style="2" customWidth="1"/>
    <col min="7" max="7" width="5.77734375" style="2" customWidth="1"/>
    <col min="8" max="16384" width="8.6640625" style="2" hidden="1"/>
  </cols>
  <sheetData>
    <row r="1" spans="2:6" s="1" customFormat="1" ht="58.8" customHeight="1" x14ac:dyDescent="0.3"/>
    <row r="2" spans="2:6" ht="21.75" customHeight="1" x14ac:dyDescent="0.3">
      <c r="B2" s="23" t="s">
        <v>483</v>
      </c>
      <c r="C2" s="24"/>
      <c r="D2" s="24"/>
      <c r="E2" s="24"/>
      <c r="F2" s="24"/>
    </row>
    <row r="3" spans="2:6" ht="90" customHeight="1" x14ac:dyDescent="0.3">
      <c r="B3" s="3" t="e" vm="1">
        <f>_xlfn.IMAGE("https://raw.githubusercontent.com/PokeAPI/sprites/master/sprites/items/poke-ball.png","Sticker 1",0)</f>
        <v>#VALUE!</v>
      </c>
      <c r="D3" s="3" t="e" vm="2">
        <f>_xlfn.IMAGE("https://raw.githubusercontent.com/PokeAPI/sprites/master/sprites/items/poke-ball.png","Sticker 2",0)</f>
        <v>#VALUE!</v>
      </c>
      <c r="F3" s="3" t="e" vm="3">
        <f>_xlfn.IMAGE("https://raw.githubusercontent.com/PokeAPI/sprites/master/sprites/items/poke-ball.png","Sticker 3",0)</f>
        <v>#VALUE!</v>
      </c>
    </row>
    <row r="4" spans="2:6" ht="15.75" customHeight="1" x14ac:dyDescent="0.3">
      <c r="B4" s="4" t="str">
        <f>"#"&amp;1&amp;" "&amp;VLOOKUP(1,Datos!$A:$I,2,FALSE())&amp;IF(VLOOKUP(1,Datos!$A:$I,6,FALSE()),""," (bloqueado)")</f>
        <v>#1 Bulbasaur (bloqueado)</v>
      </c>
      <c r="D4" s="4" t="str">
        <f>"#"&amp;2&amp;" "&amp;VLOOKUP(2,Datos!$A:$I,2,FALSE())&amp;IF(VLOOKUP(2,Datos!$A:$I,6,FALSE()),""," (bloqueado)")</f>
        <v>#2 Ivysaur (bloqueado)</v>
      </c>
      <c r="F4" s="4" t="str">
        <f>"#"&amp;3&amp;" "&amp;VLOOKUP(3,Datos!$A:$I,2,FALSE())&amp;IF(VLOOKUP(3,Datos!$A:$I,6,FALSE()),""," (bloqueado)")</f>
        <v>#3 Venusaur (bloqueado)</v>
      </c>
    </row>
    <row r="5" spans="2:6" ht="90" customHeight="1" x14ac:dyDescent="0.3">
      <c r="B5" s="3" t="e" vm="4">
        <f>_xlfn.IMAGE("https://raw.githubusercontent.com/PokeAPI/sprites/master/sprites/items/poke-ball.png","Sticker 4",0)</f>
        <v>#VALUE!</v>
      </c>
      <c r="D5" s="3" t="e" vm="5">
        <f>_xlfn.IMAGE("https://raw.githubusercontent.com/PokeAPI/sprites/master/sprites/items/poke-ball.png","Sticker 5",0)</f>
        <v>#VALUE!</v>
      </c>
      <c r="F5" s="3" t="e" vm="6">
        <f>_xlfn.IMAGE("https://raw.githubusercontent.com/PokeAPI/sprites/master/sprites/items/poke-ball.png","Sticker 6",0)</f>
        <v>#VALUE!</v>
      </c>
    </row>
    <row r="6" spans="2:6" ht="15.75" customHeight="1" x14ac:dyDescent="0.3">
      <c r="B6" s="4" t="str">
        <f>"#"&amp;4&amp;" "&amp;VLOOKUP(4,Datos!$A:$I,2,FALSE())&amp;IF(VLOOKUP(4,Datos!$A:$I,6,FALSE()),""," (bloqueado)")</f>
        <v>#4 Charmander (bloqueado)</v>
      </c>
      <c r="D6" s="4" t="str">
        <f>"#"&amp;5&amp;" "&amp;VLOOKUP(5,Datos!$A:$I,2,FALSE())&amp;IF(VLOOKUP(5,Datos!$A:$I,6,FALSE()),""," (bloqueado)")</f>
        <v>#5 Charmeleon (bloqueado)</v>
      </c>
      <c r="F6" s="4" t="str">
        <f>"#"&amp;6&amp;" "&amp;VLOOKUP(6,Datos!$A:$I,2,FALSE())&amp;IF(VLOOKUP(6,Datos!$A:$I,6,FALSE()),""," (bloqueado)")</f>
        <v>#6 Charizard (bloqueado)</v>
      </c>
    </row>
    <row r="7" spans="2:6" ht="90" customHeight="1" x14ac:dyDescent="0.3">
      <c r="B7" s="3" t="e" vm="7">
        <f>_xlfn.IMAGE("https://raw.githubusercontent.com/PokeAPI/sprites/master/sprites/items/poke-ball.png","Sticker 7",0)</f>
        <v>#VALUE!</v>
      </c>
      <c r="D7" s="3" t="e" vm="8">
        <f>_xlfn.IMAGE("https://raw.githubusercontent.com/PokeAPI/sprites/master/sprites/items/poke-ball.png","Sticker 8",0)</f>
        <v>#VALUE!</v>
      </c>
      <c r="F7" s="3" t="e" vm="9">
        <f>_xlfn.IMAGE("https://raw.githubusercontent.com/PokeAPI/sprites/master/sprites/items/poke-ball.png","Sticker 9",0)</f>
        <v>#VALUE!</v>
      </c>
    </row>
    <row r="8" spans="2:6" ht="15.75" customHeight="1" x14ac:dyDescent="0.3">
      <c r="B8" s="4" t="str">
        <f>"#"&amp;7&amp;" "&amp;VLOOKUP(7,Datos!$A:$I,2,FALSE())&amp;IF(VLOOKUP(7,Datos!$A:$I,6,FALSE()),""," (bloqueado)")</f>
        <v>#7 Squirtle (bloqueado)</v>
      </c>
      <c r="D8" s="4" t="str">
        <f>"#"&amp;8&amp;" "&amp;VLOOKUP(8,Datos!$A:$I,2,FALSE())&amp;IF(VLOOKUP(8,Datos!$A:$I,6,FALSE()),""," (bloqueado)")</f>
        <v>#8 Wartortle (bloqueado)</v>
      </c>
      <c r="F8" s="4" t="str">
        <f>"#"&amp;9&amp;" "&amp;VLOOKUP(9,Datos!$A:$I,2,FALSE())&amp;IF(VLOOKUP(9,Datos!$A:$I,6,FALSE()),""," (bloqueado)")</f>
        <v>#9 Blastoise (bloqueado)</v>
      </c>
    </row>
    <row r="9" spans="2:6" x14ac:dyDescent="0.3"/>
    <row r="10" spans="2:6" ht="21.75" customHeight="1" x14ac:dyDescent="0.3">
      <c r="B10" s="23" t="s">
        <v>484</v>
      </c>
      <c r="C10" s="24"/>
      <c r="D10" s="24"/>
      <c r="E10" s="24"/>
      <c r="F10" s="24"/>
    </row>
    <row r="11" spans="2:6" ht="90" customHeight="1" x14ac:dyDescent="0.3">
      <c r="B11" s="3" t="e" vm="10">
        <f>_xlfn.IMAGE("https://raw.githubusercontent.com/PokeAPI/sprites/master/sprites/items/poke-ball.png","Sticker 10",0)</f>
        <v>#VALUE!</v>
      </c>
      <c r="D11" s="3" t="e" vm="11">
        <f>_xlfn.IMAGE("https://raw.githubusercontent.com/PokeAPI/sprites/master/sprites/items/poke-ball.png","Sticker 11",0)</f>
        <v>#VALUE!</v>
      </c>
      <c r="F11" s="3" t="e" vm="12">
        <f>_xlfn.IMAGE("https://raw.githubusercontent.com/PokeAPI/sprites/master/sprites/items/poke-ball.png","Sticker 12",0)</f>
        <v>#VALUE!</v>
      </c>
    </row>
    <row r="12" spans="2:6" ht="15.75" customHeight="1" x14ac:dyDescent="0.3">
      <c r="B12" s="4" t="str">
        <f>"#"&amp;10&amp;" "&amp;VLOOKUP(10,Datos!$A:$I,2,FALSE())&amp;IF(VLOOKUP(10,Datos!$A:$I,6,FALSE()),""," (bloqueado)")</f>
        <v>#10 Caterpie (bloqueado)</v>
      </c>
      <c r="D12" s="4" t="str">
        <f>"#"&amp;11&amp;" "&amp;VLOOKUP(11,Datos!$A:$I,2,FALSE())&amp;IF(VLOOKUP(11,Datos!$A:$I,6,FALSE()),""," (bloqueado)")</f>
        <v>#11 Metapod (bloqueado)</v>
      </c>
      <c r="F12" s="4" t="str">
        <f>"#"&amp;12&amp;" "&amp;VLOOKUP(12,Datos!$A:$I,2,FALSE())&amp;IF(VLOOKUP(12,Datos!$A:$I,6,FALSE()),""," (bloqueado)")</f>
        <v>#12 Butterfree (bloqueado)</v>
      </c>
    </row>
    <row r="13" spans="2:6" ht="90" customHeight="1" x14ac:dyDescent="0.3">
      <c r="B13" s="3" t="e" vm="13">
        <f>_xlfn.IMAGE("https://raw.githubusercontent.com/PokeAPI/sprites/master/sprites/items/poke-ball.png","Sticker 13",0)</f>
        <v>#VALUE!</v>
      </c>
      <c r="D13" s="3" t="e" vm="14">
        <f>_xlfn.IMAGE("https://raw.githubusercontent.com/PokeAPI/sprites/master/sprites/items/poke-ball.png","Sticker 14",0)</f>
        <v>#VALUE!</v>
      </c>
      <c r="F13" s="3" t="e" vm="15">
        <f>_xlfn.IMAGE("https://raw.githubusercontent.com/PokeAPI/sprites/master/sprites/items/poke-ball.png","Sticker 15",0)</f>
        <v>#VALUE!</v>
      </c>
    </row>
    <row r="14" spans="2:6" ht="15.75" customHeight="1" x14ac:dyDescent="0.3">
      <c r="B14" s="4" t="str">
        <f>"#"&amp;13&amp;" "&amp;VLOOKUP(13,Datos!$A:$I,2,FALSE())&amp;IF(VLOOKUP(13,Datos!$A:$I,6,FALSE()),""," (bloqueado)")</f>
        <v>#13 Weedle (bloqueado)</v>
      </c>
      <c r="D14" s="4" t="str">
        <f>"#"&amp;14&amp;" "&amp;VLOOKUP(14,Datos!$A:$I,2,FALSE())&amp;IF(VLOOKUP(14,Datos!$A:$I,6,FALSE()),""," (bloqueado)")</f>
        <v>#14 Kakuna (bloqueado)</v>
      </c>
      <c r="F14" s="4" t="str">
        <f>"#"&amp;15&amp;" "&amp;VLOOKUP(15,Datos!$A:$I,2,FALSE())&amp;IF(VLOOKUP(15,Datos!$A:$I,6,FALSE()),""," (bloqueado)")</f>
        <v>#15 Beedrill (bloqueado)</v>
      </c>
    </row>
    <row r="15" spans="2:6" ht="90" customHeight="1" x14ac:dyDescent="0.3">
      <c r="B15" s="3" t="e" vm="16">
        <f>_xlfn.IMAGE("https://raw.githubusercontent.com/PokeAPI/sprites/master/sprites/items/poke-ball.png","Sticker 16",0)</f>
        <v>#VALUE!</v>
      </c>
      <c r="D15" s="3" t="e" vm="17">
        <f>_xlfn.IMAGE("https://raw.githubusercontent.com/PokeAPI/sprites/master/sprites/items/poke-ball.png","Sticker 17",0)</f>
        <v>#VALUE!</v>
      </c>
      <c r="F15" s="3" t="e" vm="18">
        <f>_xlfn.IMAGE("https://raw.githubusercontent.com/PokeAPI/sprites/master/sprites/items/poke-ball.png","Sticker 18",0)</f>
        <v>#VALUE!</v>
      </c>
    </row>
    <row r="16" spans="2:6" ht="15.75" customHeight="1" x14ac:dyDescent="0.3">
      <c r="B16" s="4" t="str">
        <f>"#"&amp;16&amp;" "&amp;VLOOKUP(16,Datos!$A:$I,2,FALSE())&amp;IF(VLOOKUP(16,Datos!$A:$I,6,FALSE()),""," (bloqueado)")</f>
        <v>#16 Pidgey (bloqueado)</v>
      </c>
      <c r="D16" s="4" t="str">
        <f>"#"&amp;17&amp;" "&amp;VLOOKUP(17,Datos!$A:$I,2,FALSE())&amp;IF(VLOOKUP(17,Datos!$A:$I,6,FALSE()),""," (bloqueado)")</f>
        <v>#17 Pidgeotto (bloqueado)</v>
      </c>
      <c r="F16" s="4" t="str">
        <f>"#"&amp;18&amp;" "&amp;VLOOKUP(18,Datos!$A:$I,2,FALSE())&amp;IF(VLOOKUP(18,Datos!$A:$I,6,FALSE()),""," (bloqueado)")</f>
        <v>#18 Pidgeot (bloqueado)</v>
      </c>
    </row>
    <row r="17" spans="2:6" x14ac:dyDescent="0.3"/>
    <row r="18" spans="2:6" ht="21.75" customHeight="1" x14ac:dyDescent="0.3">
      <c r="B18" s="23" t="s">
        <v>485</v>
      </c>
      <c r="C18" s="24"/>
      <c r="D18" s="24"/>
      <c r="E18" s="24"/>
      <c r="F18" s="24"/>
    </row>
    <row r="19" spans="2:6" ht="90" customHeight="1" x14ac:dyDescent="0.3">
      <c r="B19" s="3" t="e" vm="19">
        <f>_xlfn.IMAGE("https://raw.githubusercontent.com/PokeAPI/sprites/master/sprites/items/poke-ball.png","Sticker 19",0)</f>
        <v>#VALUE!</v>
      </c>
      <c r="D19" s="3" t="e" vm="20">
        <f>_xlfn.IMAGE("https://raw.githubusercontent.com/PokeAPI/sprites/master/sprites/items/poke-ball.png","Sticker 20",0)</f>
        <v>#VALUE!</v>
      </c>
      <c r="F19" s="3" t="e" vm="21">
        <f>_xlfn.IMAGE("https://raw.githubusercontent.com/PokeAPI/sprites/master/sprites/items/poke-ball.png","Sticker 21",0)</f>
        <v>#VALUE!</v>
      </c>
    </row>
    <row r="20" spans="2:6" ht="15.75" customHeight="1" x14ac:dyDescent="0.3">
      <c r="B20" s="4" t="str">
        <f>"#"&amp;19&amp;" "&amp;VLOOKUP(19,Datos!$A:$I,2,FALSE())&amp;IF(VLOOKUP(19,Datos!$A:$I,6,FALSE()),""," (bloqueado)")</f>
        <v>#19 Rattata (bloqueado)</v>
      </c>
      <c r="D20" s="4" t="str">
        <f>"#"&amp;20&amp;" "&amp;VLOOKUP(20,Datos!$A:$I,2,FALSE())&amp;IF(VLOOKUP(20,Datos!$A:$I,6,FALSE()),""," (bloqueado)")</f>
        <v>#20 Raticate (bloqueado)</v>
      </c>
      <c r="F20" s="4" t="str">
        <f>"#"&amp;21&amp;" "&amp;VLOOKUP(21,Datos!$A:$I,2,FALSE())&amp;IF(VLOOKUP(21,Datos!$A:$I,6,FALSE()),""," (bloqueado)")</f>
        <v>#21 Spearow (bloqueado)</v>
      </c>
    </row>
    <row r="21" spans="2:6" ht="90" customHeight="1" x14ac:dyDescent="0.3">
      <c r="B21" s="3" t="e" vm="22">
        <f>_xlfn.IMAGE("https://raw.githubusercontent.com/PokeAPI/sprites/master/sprites/items/poke-ball.png","Sticker 22",0)</f>
        <v>#VALUE!</v>
      </c>
      <c r="D21" s="3" t="e" vm="23">
        <f>_xlfn.IMAGE("https://raw.githubusercontent.com/PokeAPI/sprites/master/sprites/items/poke-ball.png","Sticker 23",0)</f>
        <v>#VALUE!</v>
      </c>
      <c r="F21" s="3" t="e" vm="24">
        <f>_xlfn.IMAGE("https://raw.githubusercontent.com/PokeAPI/sprites/master/sprites/items/poke-ball.png","Sticker 24",0)</f>
        <v>#VALUE!</v>
      </c>
    </row>
    <row r="22" spans="2:6" ht="15.75" customHeight="1" x14ac:dyDescent="0.3">
      <c r="B22" s="4" t="str">
        <f>"#"&amp;22&amp;" "&amp;VLOOKUP(22,Datos!$A:$I,2,FALSE())&amp;IF(VLOOKUP(22,Datos!$A:$I,6,FALSE()),""," (bloqueado)")</f>
        <v>#22 Fearow (bloqueado)</v>
      </c>
      <c r="D22" s="4" t="str">
        <f>"#"&amp;23&amp;" "&amp;VLOOKUP(23,Datos!$A:$I,2,FALSE())&amp;IF(VLOOKUP(23,Datos!$A:$I,6,FALSE()),""," (bloqueado)")</f>
        <v>#23 Ekans (bloqueado)</v>
      </c>
      <c r="F22" s="4" t="str">
        <f>"#"&amp;24&amp;" "&amp;VLOOKUP(24,Datos!$A:$I,2,FALSE())&amp;IF(VLOOKUP(24,Datos!$A:$I,6,FALSE()),""," (bloqueado)")</f>
        <v>#24 Arbok (bloqueado)</v>
      </c>
    </row>
    <row r="23" spans="2:6" ht="90" customHeight="1" x14ac:dyDescent="0.3">
      <c r="B23" s="3" t="e" vm="25">
        <f>_xlfn.IMAGE("https://raw.githubusercontent.com/PokeAPI/sprites/master/sprites/items/poke-ball.png","Sticker 25",0)</f>
        <v>#VALUE!</v>
      </c>
      <c r="D23" s="3" t="e" vm="26">
        <f>_xlfn.IMAGE("https://raw.githubusercontent.com/PokeAPI/sprites/master/sprites/items/poke-ball.png","Sticker 26",0)</f>
        <v>#VALUE!</v>
      </c>
      <c r="F23" s="3" t="e" vm="27">
        <f>_xlfn.IMAGE("https://raw.githubusercontent.com/PokeAPI/sprites/master/sprites/items/poke-ball.png","Sticker 27",0)</f>
        <v>#VALUE!</v>
      </c>
    </row>
    <row r="24" spans="2:6" ht="15.75" customHeight="1" x14ac:dyDescent="0.3">
      <c r="B24" s="4" t="str">
        <f>"#"&amp;25&amp;" "&amp;VLOOKUP(25,Datos!$A:$I,2,FALSE())&amp;IF(VLOOKUP(25,Datos!$A:$I,6,FALSE()),""," (bloqueado)")</f>
        <v>#25 Pikachu (bloqueado)</v>
      </c>
      <c r="D24" s="4" t="str">
        <f>"#"&amp;26&amp;" "&amp;VLOOKUP(26,Datos!$A:$I,2,FALSE())&amp;IF(VLOOKUP(26,Datos!$A:$I,6,FALSE()),""," (bloqueado)")</f>
        <v>#26 Raichu (bloqueado)</v>
      </c>
      <c r="F24" s="4" t="str">
        <f>"#"&amp;27&amp;" "&amp;VLOOKUP(27,Datos!$A:$I,2,FALSE())&amp;IF(VLOOKUP(27,Datos!$A:$I,6,FALSE()),""," (bloqueado)")</f>
        <v>#27 Sandshrew (bloqueado)</v>
      </c>
    </row>
    <row r="25" spans="2:6" x14ac:dyDescent="0.3"/>
    <row r="26" spans="2:6" ht="21.75" customHeight="1" x14ac:dyDescent="0.3">
      <c r="B26" s="23" t="s">
        <v>486</v>
      </c>
      <c r="C26" s="24"/>
      <c r="D26" s="24"/>
      <c r="E26" s="24"/>
      <c r="F26" s="24"/>
    </row>
    <row r="27" spans="2:6" ht="90" customHeight="1" x14ac:dyDescent="0.3">
      <c r="B27" s="3" t="e" vm="28">
        <f>_xlfn.IMAGE("https://raw.githubusercontent.com/PokeAPI/sprites/master/sprites/items/poke-ball.png","Sticker 28",0)</f>
        <v>#VALUE!</v>
      </c>
      <c r="D27" s="3" t="e" vm="29">
        <f>_xlfn.IMAGE("https://raw.githubusercontent.com/PokeAPI/sprites/master/sprites/items/poke-ball.png","Sticker 29",0)</f>
        <v>#VALUE!</v>
      </c>
      <c r="F27" s="3" t="e" vm="30">
        <f>_xlfn.IMAGE("https://raw.githubusercontent.com/PokeAPI/sprites/master/sprites/items/poke-ball.png","Sticker 30",0)</f>
        <v>#VALUE!</v>
      </c>
    </row>
    <row r="28" spans="2:6" ht="15.75" customHeight="1" x14ac:dyDescent="0.3">
      <c r="B28" s="4" t="str">
        <f>"#"&amp;28&amp;" "&amp;VLOOKUP(28,Datos!$A:$I,2,FALSE())&amp;IF(VLOOKUP(28,Datos!$A:$I,6,FALSE()),""," (bloqueado)")</f>
        <v>#28 Sandslash (bloqueado)</v>
      </c>
      <c r="D28" s="4" t="str">
        <f>"#"&amp;29&amp;" "&amp;VLOOKUP(29,Datos!$A:$I,2,FALSE())&amp;IF(VLOOKUP(29,Datos!$A:$I,6,FALSE()),""," (bloqueado)")</f>
        <v>#29 Nidoran (H) (bloqueado)</v>
      </c>
      <c r="F28" s="4" t="str">
        <f>"#"&amp;30&amp;" "&amp;VLOOKUP(30,Datos!$A:$I,2,FALSE())&amp;IF(VLOOKUP(30,Datos!$A:$I,6,FALSE()),""," (bloqueado)")</f>
        <v>#30 Nidorina (bloqueado)</v>
      </c>
    </row>
    <row r="29" spans="2:6" ht="90" customHeight="1" x14ac:dyDescent="0.3">
      <c r="B29" s="3" t="e" vm="31">
        <f>_xlfn.IMAGE("https://raw.githubusercontent.com/PokeAPI/sprites/master/sprites/items/poke-ball.png","Sticker 31",0)</f>
        <v>#VALUE!</v>
      </c>
      <c r="D29" s="3" t="e" vm="32">
        <f>_xlfn.IMAGE("https://raw.githubusercontent.com/PokeAPI/sprites/master/sprites/items/poke-ball.png","Sticker 32",0)</f>
        <v>#VALUE!</v>
      </c>
      <c r="F29" s="3" t="e" vm="33">
        <f>_xlfn.IMAGE("https://raw.githubusercontent.com/PokeAPI/sprites/master/sprites/items/poke-ball.png","Sticker 33",0)</f>
        <v>#VALUE!</v>
      </c>
    </row>
    <row r="30" spans="2:6" ht="15.75" customHeight="1" x14ac:dyDescent="0.3">
      <c r="B30" s="4" t="str">
        <f>"#"&amp;31&amp;" "&amp;VLOOKUP(31,Datos!$A:$I,2,FALSE())&amp;IF(VLOOKUP(31,Datos!$A:$I,6,FALSE()),""," (bloqueado)")</f>
        <v>#31 Nidoqueen (bloqueado)</v>
      </c>
      <c r="D30" s="4" t="str">
        <f>"#"&amp;32&amp;" "&amp;VLOOKUP(32,Datos!$A:$I,2,FALSE())&amp;IF(VLOOKUP(32,Datos!$A:$I,6,FALSE()),""," (bloqueado)")</f>
        <v>#32 Nidoran (M) (bloqueado)</v>
      </c>
      <c r="F30" s="4" t="str">
        <f>"#"&amp;33&amp;" "&amp;VLOOKUP(33,Datos!$A:$I,2,FALSE())&amp;IF(VLOOKUP(33,Datos!$A:$I,6,FALSE()),""," (bloqueado)")</f>
        <v>#33 Nidorino (bloqueado)</v>
      </c>
    </row>
    <row r="31" spans="2:6" ht="90" customHeight="1" x14ac:dyDescent="0.3">
      <c r="B31" s="3" t="e" vm="34">
        <f>_xlfn.IMAGE("https://raw.githubusercontent.com/PokeAPI/sprites/master/sprites/items/poke-ball.png","Sticker 34",0)</f>
        <v>#VALUE!</v>
      </c>
      <c r="D31" s="3" t="e" vm="35">
        <f>_xlfn.IMAGE("https://raw.githubusercontent.com/PokeAPI/sprites/master/sprites/items/poke-ball.png","Sticker 35",0)</f>
        <v>#VALUE!</v>
      </c>
      <c r="F31" s="3" t="e" vm="36">
        <f>_xlfn.IMAGE("https://raw.githubusercontent.com/PokeAPI/sprites/master/sprites/items/poke-ball.png","Sticker 36",0)</f>
        <v>#VALUE!</v>
      </c>
    </row>
    <row r="32" spans="2:6" ht="15.75" customHeight="1" x14ac:dyDescent="0.3">
      <c r="B32" s="4" t="str">
        <f>"#"&amp;34&amp;" "&amp;VLOOKUP(34,Datos!$A:$I,2,FALSE())&amp;IF(VLOOKUP(34,Datos!$A:$I,6,FALSE()),""," (bloqueado)")</f>
        <v>#34 Nidoking (bloqueado)</v>
      </c>
      <c r="D32" s="4" t="str">
        <f>"#"&amp;35&amp;" "&amp;VLOOKUP(35,Datos!$A:$I,2,FALSE())&amp;IF(VLOOKUP(35,Datos!$A:$I,6,FALSE()),""," (bloqueado)")</f>
        <v>#35 Clefairy (bloqueado)</v>
      </c>
      <c r="F32" s="4" t="str">
        <f>"#"&amp;36&amp;" "&amp;VLOOKUP(36,Datos!$A:$I,2,FALSE())&amp;IF(VLOOKUP(36,Datos!$A:$I,6,FALSE()),""," (bloqueado)")</f>
        <v>#36 Clefable (bloqueado)</v>
      </c>
    </row>
    <row r="33" spans="2:6" x14ac:dyDescent="0.3"/>
    <row r="34" spans="2:6" ht="21.75" customHeight="1" x14ac:dyDescent="0.3">
      <c r="B34" s="23" t="s">
        <v>487</v>
      </c>
      <c r="C34" s="24"/>
      <c r="D34" s="24"/>
      <c r="E34" s="24"/>
      <c r="F34" s="24"/>
    </row>
    <row r="35" spans="2:6" ht="90" customHeight="1" x14ac:dyDescent="0.3">
      <c r="B35" s="3" t="e" vm="37">
        <f>_xlfn.IMAGE("https://raw.githubusercontent.com/PokeAPI/sprites/master/sprites/items/poke-ball.png","Sticker 37",0)</f>
        <v>#VALUE!</v>
      </c>
      <c r="D35" s="3" t="e" vm="38">
        <f>_xlfn.IMAGE("https://raw.githubusercontent.com/PokeAPI/sprites/master/sprites/items/poke-ball.png","Sticker 38",0)</f>
        <v>#VALUE!</v>
      </c>
      <c r="F35" s="3" t="e" vm="39">
        <f>_xlfn.IMAGE("https://raw.githubusercontent.com/PokeAPI/sprites/master/sprites/items/poke-ball.png","Sticker 39",0)</f>
        <v>#VALUE!</v>
      </c>
    </row>
    <row r="36" spans="2:6" ht="15.75" customHeight="1" x14ac:dyDescent="0.3">
      <c r="B36" s="4" t="str">
        <f>"#"&amp;37&amp;" "&amp;VLOOKUP(37,Datos!$A:$I,2,FALSE())&amp;IF(VLOOKUP(37,Datos!$A:$I,6,FALSE()),""," (bloqueado)")</f>
        <v>#37 Vulpix (bloqueado)</v>
      </c>
      <c r="D36" s="4" t="str">
        <f>"#"&amp;38&amp;" "&amp;VLOOKUP(38,Datos!$A:$I,2,FALSE())&amp;IF(VLOOKUP(38,Datos!$A:$I,6,FALSE()),""," (bloqueado)")</f>
        <v>#38 Ninetales (bloqueado)</v>
      </c>
      <c r="F36" s="4" t="str">
        <f>"#"&amp;39&amp;" "&amp;VLOOKUP(39,Datos!$A:$I,2,FALSE())&amp;IF(VLOOKUP(39,Datos!$A:$I,6,FALSE()),""," (bloqueado)")</f>
        <v>#39 Jigglypuff (bloqueado)</v>
      </c>
    </row>
    <row r="37" spans="2:6" ht="90" customHeight="1" x14ac:dyDescent="0.3">
      <c r="B37" s="3" t="e" vm="40">
        <f>_xlfn.IMAGE("https://raw.githubusercontent.com/PokeAPI/sprites/master/sprites/items/poke-ball.png","Sticker 40",0)</f>
        <v>#VALUE!</v>
      </c>
      <c r="D37" s="3" t="e" vm="41">
        <f>_xlfn.IMAGE("https://raw.githubusercontent.com/PokeAPI/sprites/master/sprites/items/poke-ball.png","Sticker 41",0)</f>
        <v>#VALUE!</v>
      </c>
      <c r="F37" s="3" t="e" vm="42">
        <f>_xlfn.IMAGE("https://raw.githubusercontent.com/PokeAPI/sprites/master/sprites/items/poke-ball.png","Sticker 42",0)</f>
        <v>#VALUE!</v>
      </c>
    </row>
    <row r="38" spans="2:6" ht="15.75" customHeight="1" x14ac:dyDescent="0.3">
      <c r="B38" s="4" t="str">
        <f>"#"&amp;40&amp;" "&amp;VLOOKUP(40,Datos!$A:$I,2,FALSE())&amp;IF(VLOOKUP(40,Datos!$A:$I,6,FALSE()),""," (bloqueado)")</f>
        <v>#40 Wigglytuff (bloqueado)</v>
      </c>
      <c r="D38" s="4" t="str">
        <f>"#"&amp;41&amp;" "&amp;VLOOKUP(41,Datos!$A:$I,2,FALSE())&amp;IF(VLOOKUP(41,Datos!$A:$I,6,FALSE()),""," (bloqueado)")</f>
        <v>#41 Zubat (bloqueado)</v>
      </c>
      <c r="F38" s="4" t="str">
        <f>"#"&amp;42&amp;" "&amp;VLOOKUP(42,Datos!$A:$I,2,FALSE())&amp;IF(VLOOKUP(42,Datos!$A:$I,6,FALSE()),""," (bloqueado)")</f>
        <v>#42 Golbat (bloqueado)</v>
      </c>
    </row>
    <row r="39" spans="2:6" ht="90" customHeight="1" x14ac:dyDescent="0.3">
      <c r="B39" s="3" t="e" vm="43">
        <f>_xlfn.IMAGE("https://raw.githubusercontent.com/PokeAPI/sprites/master/sprites/items/poke-ball.png","Sticker 43",0)</f>
        <v>#VALUE!</v>
      </c>
      <c r="D39" s="3" t="e" vm="44">
        <f>_xlfn.IMAGE("https://raw.githubusercontent.com/PokeAPI/sprites/master/sprites/items/poke-ball.png","Sticker 44",0)</f>
        <v>#VALUE!</v>
      </c>
      <c r="F39" s="3" t="e" vm="45">
        <f>_xlfn.IMAGE("https://raw.githubusercontent.com/PokeAPI/sprites/master/sprites/items/poke-ball.png","Sticker 45",0)</f>
        <v>#VALUE!</v>
      </c>
    </row>
    <row r="40" spans="2:6" ht="15.75" customHeight="1" x14ac:dyDescent="0.3">
      <c r="B40" s="4" t="str">
        <f>"#"&amp;43&amp;" "&amp;VLOOKUP(43,Datos!$A:$I,2,FALSE())&amp;IF(VLOOKUP(43,Datos!$A:$I,6,FALSE()),""," (bloqueado)")</f>
        <v>#43 Oddish (bloqueado)</v>
      </c>
      <c r="D40" s="4" t="str">
        <f>"#"&amp;44&amp;" "&amp;VLOOKUP(44,Datos!$A:$I,2,FALSE())&amp;IF(VLOOKUP(44,Datos!$A:$I,6,FALSE()),""," (bloqueado)")</f>
        <v>#44 Gloom (bloqueado)</v>
      </c>
      <c r="F40" s="4" t="str">
        <f>"#"&amp;45&amp;" "&amp;VLOOKUP(45,Datos!$A:$I,2,FALSE())&amp;IF(VLOOKUP(45,Datos!$A:$I,6,FALSE()),""," (bloqueado)")</f>
        <v>#45 Vileplume (bloqueado)</v>
      </c>
    </row>
    <row r="41" spans="2:6" x14ac:dyDescent="0.3"/>
    <row r="42" spans="2:6" ht="21.75" customHeight="1" x14ac:dyDescent="0.3">
      <c r="B42" s="23" t="s">
        <v>488</v>
      </c>
      <c r="C42" s="24"/>
      <c r="D42" s="24"/>
      <c r="E42" s="24"/>
      <c r="F42" s="24"/>
    </row>
    <row r="43" spans="2:6" ht="90" customHeight="1" x14ac:dyDescent="0.3">
      <c r="B43" s="3" t="e" vm="46">
        <f>_xlfn.IMAGE("https://raw.githubusercontent.com/PokeAPI/sprites/master/sprites/items/poke-ball.png","Sticker 46",0)</f>
        <v>#VALUE!</v>
      </c>
      <c r="D43" s="3" t="e" vm="47">
        <f>_xlfn.IMAGE("https://raw.githubusercontent.com/PokeAPI/sprites/master/sprites/items/poke-ball.png","Sticker 47",0)</f>
        <v>#VALUE!</v>
      </c>
      <c r="F43" s="3" t="e" vm="48">
        <f>_xlfn.IMAGE("https://raw.githubusercontent.com/PokeAPI/sprites/master/sprites/items/poke-ball.png","Sticker 48",0)</f>
        <v>#VALUE!</v>
      </c>
    </row>
    <row r="44" spans="2:6" ht="15.75" customHeight="1" x14ac:dyDescent="0.3">
      <c r="B44" s="4" t="str">
        <f>"#"&amp;46&amp;" "&amp;VLOOKUP(46,Datos!$A:$I,2,FALSE())&amp;IF(VLOOKUP(46,Datos!$A:$I,6,FALSE()),""," (bloqueado)")</f>
        <v>#46 Paras (bloqueado)</v>
      </c>
      <c r="D44" s="4" t="str">
        <f>"#"&amp;47&amp;" "&amp;VLOOKUP(47,Datos!$A:$I,2,FALSE())&amp;IF(VLOOKUP(47,Datos!$A:$I,6,FALSE()),""," (bloqueado)")</f>
        <v>#47 Parasect (bloqueado)</v>
      </c>
      <c r="F44" s="4" t="str">
        <f>"#"&amp;48&amp;" "&amp;VLOOKUP(48,Datos!$A:$I,2,FALSE())&amp;IF(VLOOKUP(48,Datos!$A:$I,6,FALSE()),""," (bloqueado)")</f>
        <v>#48 Venonat (bloqueado)</v>
      </c>
    </row>
    <row r="45" spans="2:6" ht="90" customHeight="1" x14ac:dyDescent="0.3">
      <c r="B45" s="3" t="e" vm="49">
        <f>_xlfn.IMAGE("https://raw.githubusercontent.com/PokeAPI/sprites/master/sprites/items/poke-ball.png","Sticker 49",0)</f>
        <v>#VALUE!</v>
      </c>
      <c r="D45" s="3" t="e" vm="50">
        <f>_xlfn.IMAGE("https://raw.githubusercontent.com/PokeAPI/sprites/master/sprites/items/poke-ball.png","Sticker 50",0)</f>
        <v>#VALUE!</v>
      </c>
      <c r="F45" s="3" t="e" vm="51">
        <f>_xlfn.IMAGE("https://raw.githubusercontent.com/PokeAPI/sprites/master/sprites/items/poke-ball.png","Sticker 51",0)</f>
        <v>#VALUE!</v>
      </c>
    </row>
    <row r="46" spans="2:6" ht="15.75" customHeight="1" x14ac:dyDescent="0.3">
      <c r="B46" s="4" t="str">
        <f>"#"&amp;49&amp;" "&amp;VLOOKUP(49,Datos!$A:$I,2,FALSE())&amp;IF(VLOOKUP(49,Datos!$A:$I,6,FALSE()),""," (bloqueado)")</f>
        <v>#49 Venomoth (bloqueado)</v>
      </c>
      <c r="D46" s="4" t="str">
        <f>"#"&amp;50&amp;" "&amp;VLOOKUP(50,Datos!$A:$I,2,FALSE())&amp;IF(VLOOKUP(50,Datos!$A:$I,6,FALSE()),""," (bloqueado)")</f>
        <v>#50 Diglett (bloqueado)</v>
      </c>
      <c r="F46" s="4" t="str">
        <f>"#"&amp;51&amp;" "&amp;VLOOKUP(51,Datos!$A:$I,2,FALSE())&amp;IF(VLOOKUP(51,Datos!$A:$I,6,FALSE()),""," (bloqueado)")</f>
        <v>#51 Dugtrio (bloqueado)</v>
      </c>
    </row>
    <row r="47" spans="2:6" ht="90" customHeight="1" x14ac:dyDescent="0.3">
      <c r="B47" s="3" t="e" vm="52">
        <f>_xlfn.IMAGE("https://raw.githubusercontent.com/PokeAPI/sprites/master/sprites/items/poke-ball.png","Sticker 52",0)</f>
        <v>#VALUE!</v>
      </c>
      <c r="D47" s="3" t="e" vm="53">
        <f>_xlfn.IMAGE("https://raw.githubusercontent.com/PokeAPI/sprites/master/sprites/items/poke-ball.png","Sticker 53",0)</f>
        <v>#VALUE!</v>
      </c>
      <c r="F47" s="3" t="e" vm="54">
        <f>_xlfn.IMAGE("https://raw.githubusercontent.com/PokeAPI/sprites/master/sprites/items/poke-ball.png","Sticker 54",0)</f>
        <v>#VALUE!</v>
      </c>
    </row>
    <row r="48" spans="2:6" ht="15.75" customHeight="1" x14ac:dyDescent="0.3">
      <c r="B48" s="4" t="str">
        <f>"#"&amp;52&amp;" "&amp;VLOOKUP(52,Datos!$A:$I,2,FALSE())&amp;IF(VLOOKUP(52,Datos!$A:$I,6,FALSE()),""," (bloqueado)")</f>
        <v>#52 Meowth (bloqueado)</v>
      </c>
      <c r="D48" s="4" t="str">
        <f>"#"&amp;53&amp;" "&amp;VLOOKUP(53,Datos!$A:$I,2,FALSE())&amp;IF(VLOOKUP(53,Datos!$A:$I,6,FALSE()),""," (bloqueado)")</f>
        <v>#53 Persian (bloqueado)</v>
      </c>
      <c r="F48" s="4" t="str">
        <f>"#"&amp;54&amp;" "&amp;VLOOKUP(54,Datos!$A:$I,2,FALSE())&amp;IF(VLOOKUP(54,Datos!$A:$I,6,FALSE()),""," (bloqueado)")</f>
        <v>#54 Psyduck (bloqueado)</v>
      </c>
    </row>
    <row r="49" spans="2:6" x14ac:dyDescent="0.3"/>
    <row r="50" spans="2:6" ht="21.75" customHeight="1" x14ac:dyDescent="0.3">
      <c r="B50" s="23" t="s">
        <v>489</v>
      </c>
      <c r="C50" s="24"/>
      <c r="D50" s="24"/>
      <c r="E50" s="24"/>
      <c r="F50" s="24"/>
    </row>
    <row r="51" spans="2:6" ht="90" customHeight="1" x14ac:dyDescent="0.3">
      <c r="B51" s="3" t="e" vm="55">
        <f>_xlfn.IMAGE("https://raw.githubusercontent.com/PokeAPI/sprites/master/sprites/items/poke-ball.png","Sticker 55",0)</f>
        <v>#VALUE!</v>
      </c>
      <c r="D51" s="3" t="e" vm="56">
        <f>_xlfn.IMAGE("https://raw.githubusercontent.com/PokeAPI/sprites/master/sprites/items/poke-ball.png","Sticker 56",0)</f>
        <v>#VALUE!</v>
      </c>
      <c r="F51" s="3" t="e" vm="57">
        <f>_xlfn.IMAGE("https://raw.githubusercontent.com/PokeAPI/sprites/master/sprites/items/poke-ball.png","Sticker 57",0)</f>
        <v>#VALUE!</v>
      </c>
    </row>
    <row r="52" spans="2:6" ht="15.75" customHeight="1" x14ac:dyDescent="0.3">
      <c r="B52" s="4" t="str">
        <f>"#"&amp;55&amp;" "&amp;VLOOKUP(55,Datos!$A:$I,2,FALSE())&amp;IF(VLOOKUP(55,Datos!$A:$I,6,FALSE()),""," (bloqueado)")</f>
        <v>#55 Golduck (bloqueado)</v>
      </c>
      <c r="D52" s="4" t="str">
        <f>"#"&amp;56&amp;" "&amp;VLOOKUP(56,Datos!$A:$I,2,FALSE())&amp;IF(VLOOKUP(56,Datos!$A:$I,6,FALSE()),""," (bloqueado)")</f>
        <v>#56 Mankey (bloqueado)</v>
      </c>
      <c r="F52" s="4" t="str">
        <f>"#"&amp;57&amp;" "&amp;VLOOKUP(57,Datos!$A:$I,2,FALSE())&amp;IF(VLOOKUP(57,Datos!$A:$I,6,FALSE()),""," (bloqueado)")</f>
        <v>#57 Primeape (bloqueado)</v>
      </c>
    </row>
    <row r="53" spans="2:6" ht="90" customHeight="1" x14ac:dyDescent="0.3">
      <c r="B53" s="3" t="e" vm="58">
        <f>_xlfn.IMAGE("https://raw.githubusercontent.com/PokeAPI/sprites/master/sprites/items/poke-ball.png","Sticker 58",0)</f>
        <v>#VALUE!</v>
      </c>
      <c r="D53" s="3" t="e" vm="59">
        <f>_xlfn.IMAGE("https://raw.githubusercontent.com/PokeAPI/sprites/master/sprites/items/poke-ball.png","Sticker 59",0)</f>
        <v>#VALUE!</v>
      </c>
      <c r="F53" s="3" t="e" vm="60">
        <f>_xlfn.IMAGE("https://raw.githubusercontent.com/PokeAPI/sprites/master/sprites/items/poke-ball.png","Sticker 60",0)</f>
        <v>#VALUE!</v>
      </c>
    </row>
    <row r="54" spans="2:6" ht="15.75" customHeight="1" x14ac:dyDescent="0.3">
      <c r="B54" s="4" t="str">
        <f>"#"&amp;58&amp;" "&amp;VLOOKUP(58,Datos!$A:$I,2,FALSE())&amp;IF(VLOOKUP(58,Datos!$A:$I,6,FALSE()),""," (bloqueado)")</f>
        <v>#58 Growlithe (bloqueado)</v>
      </c>
      <c r="D54" s="4" t="str">
        <f>"#"&amp;59&amp;" "&amp;VLOOKUP(59,Datos!$A:$I,2,FALSE())&amp;IF(VLOOKUP(59,Datos!$A:$I,6,FALSE()),""," (bloqueado)")</f>
        <v>#59 Arcanine (bloqueado)</v>
      </c>
      <c r="F54" s="4" t="str">
        <f>"#"&amp;60&amp;" "&amp;VLOOKUP(60,Datos!$A:$I,2,FALSE())&amp;IF(VLOOKUP(60,Datos!$A:$I,6,FALSE()),""," (bloqueado)")</f>
        <v>#60 Poliwag (bloqueado)</v>
      </c>
    </row>
    <row r="55" spans="2:6" ht="90" customHeight="1" x14ac:dyDescent="0.3">
      <c r="B55" s="3" t="e" vm="61">
        <f>_xlfn.IMAGE("https://raw.githubusercontent.com/PokeAPI/sprites/master/sprites/items/poke-ball.png","Sticker 61",0)</f>
        <v>#VALUE!</v>
      </c>
      <c r="D55" s="3" t="e" vm="62">
        <f>_xlfn.IMAGE("https://raw.githubusercontent.com/PokeAPI/sprites/master/sprites/items/poke-ball.png","Sticker 62",0)</f>
        <v>#VALUE!</v>
      </c>
      <c r="F55" s="3" t="e" vm="63">
        <f>_xlfn.IMAGE("https://raw.githubusercontent.com/PokeAPI/sprites/master/sprites/items/poke-ball.png","Sticker 63",0)</f>
        <v>#VALUE!</v>
      </c>
    </row>
    <row r="56" spans="2:6" ht="15.75" customHeight="1" x14ac:dyDescent="0.3">
      <c r="B56" s="4" t="str">
        <f>"#"&amp;61&amp;" "&amp;VLOOKUP(61,Datos!$A:$I,2,FALSE())&amp;IF(VLOOKUP(61,Datos!$A:$I,6,FALSE()),""," (bloqueado)")</f>
        <v>#61 Poliwhirl (bloqueado)</v>
      </c>
      <c r="D56" s="4" t="str">
        <f>"#"&amp;62&amp;" "&amp;VLOOKUP(62,Datos!$A:$I,2,FALSE())&amp;IF(VLOOKUP(62,Datos!$A:$I,6,FALSE()),""," (bloqueado)")</f>
        <v>#62 Poliwrath (bloqueado)</v>
      </c>
      <c r="F56" s="4" t="str">
        <f>"#"&amp;63&amp;" "&amp;VLOOKUP(63,Datos!$A:$I,2,FALSE())&amp;IF(VLOOKUP(63,Datos!$A:$I,6,FALSE()),""," (bloqueado)")</f>
        <v>#63 Abra (bloqueado)</v>
      </c>
    </row>
    <row r="57" spans="2:6" x14ac:dyDescent="0.3"/>
    <row r="58" spans="2:6" ht="21.75" customHeight="1" x14ac:dyDescent="0.3">
      <c r="B58" s="23" t="s">
        <v>490</v>
      </c>
      <c r="C58" s="24"/>
      <c r="D58" s="24"/>
      <c r="E58" s="24"/>
      <c r="F58" s="24"/>
    </row>
    <row r="59" spans="2:6" ht="90" customHeight="1" x14ac:dyDescent="0.3">
      <c r="B59" s="3" t="e" vm="64">
        <f>_xlfn.IMAGE("https://raw.githubusercontent.com/PokeAPI/sprites/master/sprites/items/poke-ball.png","Sticker 64",0)</f>
        <v>#VALUE!</v>
      </c>
      <c r="D59" s="3" t="e" vm="65">
        <f>_xlfn.IMAGE("https://raw.githubusercontent.com/PokeAPI/sprites/master/sprites/items/poke-ball.png","Sticker 65",0)</f>
        <v>#VALUE!</v>
      </c>
      <c r="F59" s="3" t="e" vm="66">
        <f>_xlfn.IMAGE("https://raw.githubusercontent.com/PokeAPI/sprites/master/sprites/items/poke-ball.png","Sticker 66",0)</f>
        <v>#VALUE!</v>
      </c>
    </row>
    <row r="60" spans="2:6" ht="15.75" customHeight="1" x14ac:dyDescent="0.3">
      <c r="B60" s="4" t="str">
        <f>"#"&amp;64&amp;" "&amp;VLOOKUP(64,Datos!$A:$I,2,FALSE())&amp;IF(VLOOKUP(64,Datos!$A:$I,6,FALSE()),""," (bloqueado)")</f>
        <v>#64 Kadabra (bloqueado)</v>
      </c>
      <c r="D60" s="4" t="str">
        <f>"#"&amp;65&amp;" "&amp;VLOOKUP(65,Datos!$A:$I,2,FALSE())&amp;IF(VLOOKUP(65,Datos!$A:$I,6,FALSE()),""," (bloqueado)")</f>
        <v>#65 Alakazam (bloqueado)</v>
      </c>
      <c r="F60" s="4" t="str">
        <f>"#"&amp;66&amp;" "&amp;VLOOKUP(66,Datos!$A:$I,2,FALSE())&amp;IF(VLOOKUP(66,Datos!$A:$I,6,FALSE()),""," (bloqueado)")</f>
        <v>#66 Machop (bloqueado)</v>
      </c>
    </row>
    <row r="61" spans="2:6" ht="90" customHeight="1" x14ac:dyDescent="0.3">
      <c r="B61" s="3" t="e" vm="67">
        <f>_xlfn.IMAGE("https://raw.githubusercontent.com/PokeAPI/sprites/master/sprites/items/poke-ball.png","Sticker 67",0)</f>
        <v>#VALUE!</v>
      </c>
      <c r="D61" s="3" t="e" vm="68">
        <f>_xlfn.IMAGE("https://raw.githubusercontent.com/PokeAPI/sprites/master/sprites/items/poke-ball.png","Sticker 68",0)</f>
        <v>#VALUE!</v>
      </c>
      <c r="F61" s="3" t="e" vm="69">
        <f>_xlfn.IMAGE("https://raw.githubusercontent.com/PokeAPI/sprites/master/sprites/items/poke-ball.png","Sticker 69",0)</f>
        <v>#VALUE!</v>
      </c>
    </row>
    <row r="62" spans="2:6" ht="15.75" customHeight="1" x14ac:dyDescent="0.3">
      <c r="B62" s="4" t="str">
        <f>"#"&amp;67&amp;" "&amp;VLOOKUP(67,Datos!$A:$I,2,FALSE())&amp;IF(VLOOKUP(67,Datos!$A:$I,6,FALSE()),""," (bloqueado)")</f>
        <v>#67 Machoke (bloqueado)</v>
      </c>
      <c r="D62" s="4" t="str">
        <f>"#"&amp;68&amp;" "&amp;VLOOKUP(68,Datos!$A:$I,2,FALSE())&amp;IF(VLOOKUP(68,Datos!$A:$I,6,FALSE()),""," (bloqueado)")</f>
        <v>#68 Machamp (bloqueado)</v>
      </c>
      <c r="F62" s="4" t="str">
        <f>"#"&amp;69&amp;" "&amp;VLOOKUP(69,Datos!$A:$I,2,FALSE())&amp;IF(VLOOKUP(69,Datos!$A:$I,6,FALSE()),""," (bloqueado)")</f>
        <v>#69 Bellsprout (bloqueado)</v>
      </c>
    </row>
    <row r="63" spans="2:6" ht="90" customHeight="1" x14ac:dyDescent="0.3">
      <c r="B63" s="3" t="e" vm="70">
        <f>_xlfn.IMAGE("https://raw.githubusercontent.com/PokeAPI/sprites/master/sprites/items/poke-ball.png","Sticker 70",0)</f>
        <v>#VALUE!</v>
      </c>
      <c r="D63" s="3" t="e" vm="71">
        <f>_xlfn.IMAGE("https://raw.githubusercontent.com/PokeAPI/sprites/master/sprites/items/poke-ball.png","Sticker 71",0)</f>
        <v>#VALUE!</v>
      </c>
      <c r="F63" s="3" t="e" vm="72">
        <f>_xlfn.IMAGE("https://raw.githubusercontent.com/PokeAPI/sprites/master/sprites/items/poke-ball.png","Sticker 72",0)</f>
        <v>#VALUE!</v>
      </c>
    </row>
    <row r="64" spans="2:6" ht="15.75" customHeight="1" x14ac:dyDescent="0.3">
      <c r="B64" s="4" t="str">
        <f>"#"&amp;70&amp;" "&amp;VLOOKUP(70,Datos!$A:$I,2,FALSE())&amp;IF(VLOOKUP(70,Datos!$A:$I,6,FALSE()),""," (bloqueado)")</f>
        <v>#70 Weepinbell (bloqueado)</v>
      </c>
      <c r="D64" s="4" t="str">
        <f>"#"&amp;71&amp;" "&amp;VLOOKUP(71,Datos!$A:$I,2,FALSE())&amp;IF(VLOOKUP(71,Datos!$A:$I,6,FALSE()),""," (bloqueado)")</f>
        <v>#71 Victreebel (bloqueado)</v>
      </c>
      <c r="F64" s="4" t="str">
        <f>"#"&amp;72&amp;" "&amp;VLOOKUP(72,Datos!$A:$I,2,FALSE())&amp;IF(VLOOKUP(72,Datos!$A:$I,6,FALSE()),""," (bloqueado)")</f>
        <v>#72 Tentacool (bloqueado)</v>
      </c>
    </row>
    <row r="65" spans="2:6" x14ac:dyDescent="0.3"/>
    <row r="66" spans="2:6" ht="21.75" customHeight="1" x14ac:dyDescent="0.3">
      <c r="B66" s="23" t="s">
        <v>491</v>
      </c>
      <c r="C66" s="24"/>
      <c r="D66" s="24"/>
      <c r="E66" s="24"/>
      <c r="F66" s="24"/>
    </row>
    <row r="67" spans="2:6" ht="90" customHeight="1" x14ac:dyDescent="0.3">
      <c r="B67" s="3" t="e" vm="73">
        <f>_xlfn.IMAGE("https://raw.githubusercontent.com/PokeAPI/sprites/master/sprites/items/poke-ball.png","Sticker 73",0)</f>
        <v>#VALUE!</v>
      </c>
      <c r="D67" s="3" t="e" vm="74">
        <f>_xlfn.IMAGE("https://raw.githubusercontent.com/PokeAPI/sprites/master/sprites/items/poke-ball.png","Sticker 74",0)</f>
        <v>#VALUE!</v>
      </c>
      <c r="F67" s="3" t="e" vm="75">
        <f>_xlfn.IMAGE("https://raw.githubusercontent.com/PokeAPI/sprites/master/sprites/items/poke-ball.png","Sticker 75",0)</f>
        <v>#VALUE!</v>
      </c>
    </row>
    <row r="68" spans="2:6" ht="15.75" customHeight="1" x14ac:dyDescent="0.3">
      <c r="B68" s="4" t="str">
        <f>"#"&amp;73&amp;" "&amp;VLOOKUP(73,Datos!$A:$I,2,FALSE())&amp;IF(VLOOKUP(73,Datos!$A:$I,6,FALSE()),""," (bloqueado)")</f>
        <v>#73 Tentacruel (bloqueado)</v>
      </c>
      <c r="D68" s="4" t="str">
        <f>"#"&amp;74&amp;" "&amp;VLOOKUP(74,Datos!$A:$I,2,FALSE())&amp;IF(VLOOKUP(74,Datos!$A:$I,6,FALSE()),""," (bloqueado)")</f>
        <v>#74 Geodude (bloqueado)</v>
      </c>
      <c r="F68" s="4" t="str">
        <f>"#"&amp;75&amp;" "&amp;VLOOKUP(75,Datos!$A:$I,2,FALSE())&amp;IF(VLOOKUP(75,Datos!$A:$I,6,FALSE()),""," (bloqueado)")</f>
        <v>#75 Graveler (bloqueado)</v>
      </c>
    </row>
    <row r="69" spans="2:6" ht="90" customHeight="1" x14ac:dyDescent="0.3">
      <c r="B69" s="3" t="e" vm="76">
        <f>_xlfn.IMAGE("https://raw.githubusercontent.com/PokeAPI/sprites/master/sprites/items/poke-ball.png","Sticker 76",0)</f>
        <v>#VALUE!</v>
      </c>
      <c r="D69" s="3" t="e" vm="77">
        <f>_xlfn.IMAGE("https://raw.githubusercontent.com/PokeAPI/sprites/master/sprites/items/poke-ball.png","Sticker 77",0)</f>
        <v>#VALUE!</v>
      </c>
      <c r="F69" s="3" t="e" vm="78">
        <f>_xlfn.IMAGE("https://raw.githubusercontent.com/PokeAPI/sprites/master/sprites/items/poke-ball.png","Sticker 78",0)</f>
        <v>#VALUE!</v>
      </c>
    </row>
    <row r="70" spans="2:6" ht="15.75" customHeight="1" x14ac:dyDescent="0.3">
      <c r="B70" s="4" t="str">
        <f>"#"&amp;76&amp;" "&amp;VLOOKUP(76,Datos!$A:$I,2,FALSE())&amp;IF(VLOOKUP(76,Datos!$A:$I,6,FALSE()),""," (bloqueado)")</f>
        <v>#76 Golem (bloqueado)</v>
      </c>
      <c r="D70" s="4" t="str">
        <f>"#"&amp;77&amp;" "&amp;VLOOKUP(77,Datos!$A:$I,2,FALSE())&amp;IF(VLOOKUP(77,Datos!$A:$I,6,FALSE()),""," (bloqueado)")</f>
        <v>#77 Ponyta (bloqueado)</v>
      </c>
      <c r="F70" s="4" t="str">
        <f>"#"&amp;78&amp;" "&amp;VLOOKUP(78,Datos!$A:$I,2,FALSE())&amp;IF(VLOOKUP(78,Datos!$A:$I,6,FALSE()),""," (bloqueado)")</f>
        <v>#78 Rapidash (bloqueado)</v>
      </c>
    </row>
    <row r="71" spans="2:6" ht="90" customHeight="1" x14ac:dyDescent="0.3">
      <c r="B71" s="3" t="e" vm="79">
        <f>_xlfn.IMAGE("https://raw.githubusercontent.com/PokeAPI/sprites/master/sprites/items/poke-ball.png","Sticker 79",0)</f>
        <v>#VALUE!</v>
      </c>
      <c r="D71" s="3" t="e" vm="80">
        <f>_xlfn.IMAGE("https://raw.githubusercontent.com/PokeAPI/sprites/master/sprites/items/poke-ball.png","Sticker 80",0)</f>
        <v>#VALUE!</v>
      </c>
      <c r="F71" s="3" t="e" vm="81">
        <f>_xlfn.IMAGE("https://raw.githubusercontent.com/PokeAPI/sprites/master/sprites/items/poke-ball.png","Sticker 81",0)</f>
        <v>#VALUE!</v>
      </c>
    </row>
    <row r="72" spans="2:6" ht="15.75" customHeight="1" x14ac:dyDescent="0.3">
      <c r="B72" s="4" t="str">
        <f>"#"&amp;79&amp;" "&amp;VLOOKUP(79,Datos!$A:$I,2,FALSE())&amp;IF(VLOOKUP(79,Datos!$A:$I,6,FALSE()),""," (bloqueado)")</f>
        <v>#79 Slowpoke (bloqueado)</v>
      </c>
      <c r="D72" s="4" t="str">
        <f>"#"&amp;80&amp;" "&amp;VLOOKUP(80,Datos!$A:$I,2,FALSE())&amp;IF(VLOOKUP(80,Datos!$A:$I,6,FALSE()),""," (bloqueado)")</f>
        <v>#80 Slowbro (bloqueado)</v>
      </c>
      <c r="F72" s="4" t="str">
        <f>"#"&amp;81&amp;" "&amp;VLOOKUP(81,Datos!$A:$I,2,FALSE())&amp;IF(VLOOKUP(81,Datos!$A:$I,6,FALSE()),""," (bloqueado)")</f>
        <v>#81 Magnemite (bloqueado)</v>
      </c>
    </row>
    <row r="73" spans="2:6" x14ac:dyDescent="0.3"/>
    <row r="74" spans="2:6" ht="21.75" customHeight="1" x14ac:dyDescent="0.3">
      <c r="B74" s="23" t="s">
        <v>492</v>
      </c>
      <c r="C74" s="24"/>
      <c r="D74" s="24"/>
      <c r="E74" s="24"/>
      <c r="F74" s="24"/>
    </row>
    <row r="75" spans="2:6" ht="90" customHeight="1" x14ac:dyDescent="0.3">
      <c r="B75" s="3" t="e" vm="82">
        <f>_xlfn.IMAGE("https://raw.githubusercontent.com/PokeAPI/sprites/master/sprites/items/poke-ball.png","Sticker 82",0)</f>
        <v>#VALUE!</v>
      </c>
      <c r="D75" s="3" t="e" vm="83">
        <f>_xlfn.IMAGE("https://raw.githubusercontent.com/PokeAPI/sprites/master/sprites/items/poke-ball.png","Sticker 83",0)</f>
        <v>#VALUE!</v>
      </c>
      <c r="F75" s="3" t="e" vm="84">
        <f>_xlfn.IMAGE("https://raw.githubusercontent.com/PokeAPI/sprites/master/sprites/items/poke-ball.png","Sticker 84",0)</f>
        <v>#VALUE!</v>
      </c>
    </row>
    <row r="76" spans="2:6" ht="15.75" customHeight="1" x14ac:dyDescent="0.3">
      <c r="B76" s="4" t="str">
        <f>"#"&amp;82&amp;" "&amp;VLOOKUP(82,Datos!$A:$I,2,FALSE())&amp;IF(VLOOKUP(82,Datos!$A:$I,6,FALSE()),""," (bloqueado)")</f>
        <v>#82 Magneton (bloqueado)</v>
      </c>
      <c r="D76" s="4" t="str">
        <f>"#"&amp;83&amp;" "&amp;VLOOKUP(83,Datos!$A:$I,2,FALSE())&amp;IF(VLOOKUP(83,Datos!$A:$I,6,FALSE()),""," (bloqueado)")</f>
        <v>#83 Farfetch'd (bloqueado)</v>
      </c>
      <c r="F76" s="4" t="str">
        <f>"#"&amp;84&amp;" "&amp;VLOOKUP(84,Datos!$A:$I,2,FALSE())&amp;IF(VLOOKUP(84,Datos!$A:$I,6,FALSE()),""," (bloqueado)")</f>
        <v>#84 Doduo (bloqueado)</v>
      </c>
    </row>
    <row r="77" spans="2:6" ht="90" customHeight="1" x14ac:dyDescent="0.3">
      <c r="B77" s="3" t="e" vm="85">
        <f>_xlfn.IMAGE("https://raw.githubusercontent.com/PokeAPI/sprites/master/sprites/items/poke-ball.png","Sticker 85",0)</f>
        <v>#VALUE!</v>
      </c>
      <c r="D77" s="3" t="e" vm="86">
        <f>_xlfn.IMAGE("https://raw.githubusercontent.com/PokeAPI/sprites/master/sprites/items/poke-ball.png","Sticker 86",0)</f>
        <v>#VALUE!</v>
      </c>
      <c r="F77" s="3" t="e" vm="87">
        <f>_xlfn.IMAGE("https://raw.githubusercontent.com/PokeAPI/sprites/master/sprites/items/poke-ball.png","Sticker 87",0)</f>
        <v>#VALUE!</v>
      </c>
    </row>
    <row r="78" spans="2:6" ht="15.75" customHeight="1" x14ac:dyDescent="0.3">
      <c r="B78" s="4" t="str">
        <f>"#"&amp;85&amp;" "&amp;VLOOKUP(85,Datos!$A:$I,2,FALSE())&amp;IF(VLOOKUP(85,Datos!$A:$I,6,FALSE()),""," (bloqueado)")</f>
        <v>#85 Dodrio (bloqueado)</v>
      </c>
      <c r="D78" s="4" t="str">
        <f>"#"&amp;86&amp;" "&amp;VLOOKUP(86,Datos!$A:$I,2,FALSE())&amp;IF(VLOOKUP(86,Datos!$A:$I,6,FALSE()),""," (bloqueado)")</f>
        <v>#86 Seel (bloqueado)</v>
      </c>
      <c r="F78" s="4" t="str">
        <f>"#"&amp;87&amp;" "&amp;VLOOKUP(87,Datos!$A:$I,2,FALSE())&amp;IF(VLOOKUP(87,Datos!$A:$I,6,FALSE()),""," (bloqueado)")</f>
        <v>#87 Dewgong (bloqueado)</v>
      </c>
    </row>
    <row r="79" spans="2:6" ht="90" customHeight="1" x14ac:dyDescent="0.3">
      <c r="B79" s="3" t="e" vm="88">
        <f>_xlfn.IMAGE("https://raw.githubusercontent.com/PokeAPI/sprites/master/sprites/items/poke-ball.png","Sticker 88",0)</f>
        <v>#VALUE!</v>
      </c>
      <c r="D79" s="3" t="e" vm="89">
        <f>_xlfn.IMAGE("https://raw.githubusercontent.com/PokeAPI/sprites/master/sprites/items/poke-ball.png","Sticker 89",0)</f>
        <v>#VALUE!</v>
      </c>
      <c r="F79" s="3" t="e" vm="90">
        <f>_xlfn.IMAGE("https://raw.githubusercontent.com/PokeAPI/sprites/master/sprites/items/poke-ball.png","Sticker 90",0)</f>
        <v>#VALUE!</v>
      </c>
    </row>
    <row r="80" spans="2:6" ht="15.75" customHeight="1" x14ac:dyDescent="0.3">
      <c r="B80" s="4" t="str">
        <f>"#"&amp;88&amp;" "&amp;VLOOKUP(88,Datos!$A:$I,2,FALSE())&amp;IF(VLOOKUP(88,Datos!$A:$I,6,FALSE()),""," (bloqueado)")</f>
        <v>#88 Grimer (bloqueado)</v>
      </c>
      <c r="D80" s="4" t="str">
        <f>"#"&amp;89&amp;" "&amp;VLOOKUP(89,Datos!$A:$I,2,FALSE())&amp;IF(VLOOKUP(89,Datos!$A:$I,6,FALSE()),""," (bloqueado)")</f>
        <v>#89 Muk (bloqueado)</v>
      </c>
      <c r="F80" s="4" t="str">
        <f>"#"&amp;90&amp;" "&amp;VLOOKUP(90,Datos!$A:$I,2,FALSE())&amp;IF(VLOOKUP(90,Datos!$A:$I,6,FALSE()),""," (bloqueado)")</f>
        <v>#90 Shellder (bloqueado)</v>
      </c>
    </row>
    <row r="81" spans="2:6" x14ac:dyDescent="0.3"/>
    <row r="82" spans="2:6" ht="21.75" customHeight="1" x14ac:dyDescent="0.3">
      <c r="B82" s="23" t="s">
        <v>493</v>
      </c>
      <c r="C82" s="24"/>
      <c r="D82" s="24"/>
      <c r="E82" s="24"/>
      <c r="F82" s="24"/>
    </row>
    <row r="83" spans="2:6" ht="90" customHeight="1" x14ac:dyDescent="0.3">
      <c r="B83" s="3" t="e" vm="91">
        <f>_xlfn.IMAGE("https://raw.githubusercontent.com/PokeAPI/sprites/master/sprites/items/poke-ball.png","Sticker 91",0)</f>
        <v>#VALUE!</v>
      </c>
      <c r="D83" s="3" t="e" vm="92">
        <f>_xlfn.IMAGE("https://raw.githubusercontent.com/PokeAPI/sprites/master/sprites/items/poke-ball.png","Sticker 92",0)</f>
        <v>#VALUE!</v>
      </c>
      <c r="F83" s="3" t="e" vm="93">
        <f>_xlfn.IMAGE("https://raw.githubusercontent.com/PokeAPI/sprites/master/sprites/items/poke-ball.png","Sticker 93",0)</f>
        <v>#VALUE!</v>
      </c>
    </row>
    <row r="84" spans="2:6" ht="15.75" customHeight="1" x14ac:dyDescent="0.3">
      <c r="B84" s="4" t="str">
        <f>"#"&amp;91&amp;" "&amp;VLOOKUP(91,Datos!$A:$I,2,FALSE())&amp;IF(VLOOKUP(91,Datos!$A:$I,6,FALSE()),""," (bloqueado)")</f>
        <v>#91 Cloyster (bloqueado)</v>
      </c>
      <c r="D84" s="4" t="str">
        <f>"#"&amp;92&amp;" "&amp;VLOOKUP(92,Datos!$A:$I,2,FALSE())&amp;IF(VLOOKUP(92,Datos!$A:$I,6,FALSE()),""," (bloqueado)")</f>
        <v>#92 Gastly (bloqueado)</v>
      </c>
      <c r="F84" s="4" t="str">
        <f>"#"&amp;93&amp;" "&amp;VLOOKUP(93,Datos!$A:$I,2,FALSE())&amp;IF(VLOOKUP(93,Datos!$A:$I,6,FALSE()),""," (bloqueado)")</f>
        <v>#93 Haunter (bloqueado)</v>
      </c>
    </row>
    <row r="85" spans="2:6" ht="90" customHeight="1" x14ac:dyDescent="0.3">
      <c r="B85" s="3" t="e" vm="94">
        <f>_xlfn.IMAGE("https://raw.githubusercontent.com/PokeAPI/sprites/master/sprites/items/poke-ball.png","Sticker 94",0)</f>
        <v>#VALUE!</v>
      </c>
      <c r="D85" s="3" t="e" vm="95">
        <f>_xlfn.IMAGE("https://raw.githubusercontent.com/PokeAPI/sprites/master/sprites/items/poke-ball.png","Sticker 95",0)</f>
        <v>#VALUE!</v>
      </c>
      <c r="F85" s="3" t="e" vm="96">
        <f>_xlfn.IMAGE("https://raw.githubusercontent.com/PokeAPI/sprites/master/sprites/items/poke-ball.png","Sticker 96",0)</f>
        <v>#VALUE!</v>
      </c>
    </row>
    <row r="86" spans="2:6" ht="15.75" customHeight="1" x14ac:dyDescent="0.3">
      <c r="B86" s="4" t="str">
        <f>"#"&amp;94&amp;" "&amp;VLOOKUP(94,Datos!$A:$I,2,FALSE())&amp;IF(VLOOKUP(94,Datos!$A:$I,6,FALSE()),""," (bloqueado)")</f>
        <v>#94 Gengar (bloqueado)</v>
      </c>
      <c r="D86" s="4" t="str">
        <f>"#"&amp;95&amp;" "&amp;VLOOKUP(95,Datos!$A:$I,2,FALSE())&amp;IF(VLOOKUP(95,Datos!$A:$I,6,FALSE()),""," (bloqueado)")</f>
        <v>#95 Onix (bloqueado)</v>
      </c>
      <c r="F86" s="4" t="str">
        <f>"#"&amp;96&amp;" "&amp;VLOOKUP(96,Datos!$A:$I,2,FALSE())&amp;IF(VLOOKUP(96,Datos!$A:$I,6,FALSE()),""," (bloqueado)")</f>
        <v>#96 Drowzee (bloqueado)</v>
      </c>
    </row>
    <row r="87" spans="2:6" ht="90" customHeight="1" x14ac:dyDescent="0.3">
      <c r="B87" s="3" t="e" vm="97">
        <f>_xlfn.IMAGE("https://raw.githubusercontent.com/PokeAPI/sprites/master/sprites/items/poke-ball.png","Sticker 97",0)</f>
        <v>#VALUE!</v>
      </c>
      <c r="D87" s="3" t="e" vm="98">
        <f>_xlfn.IMAGE("https://raw.githubusercontent.com/PokeAPI/sprites/master/sprites/items/poke-ball.png","Sticker 98",0)</f>
        <v>#VALUE!</v>
      </c>
      <c r="F87" s="3" t="e" vm="99">
        <f>_xlfn.IMAGE("https://raw.githubusercontent.com/PokeAPI/sprites/master/sprites/items/poke-ball.png","Sticker 99",0)</f>
        <v>#VALUE!</v>
      </c>
    </row>
    <row r="88" spans="2:6" ht="15.75" customHeight="1" x14ac:dyDescent="0.3">
      <c r="B88" s="4" t="str">
        <f>"#"&amp;97&amp;" "&amp;VLOOKUP(97,Datos!$A:$I,2,FALSE())&amp;IF(VLOOKUP(97,Datos!$A:$I,6,FALSE()),""," (bloqueado)")</f>
        <v>#97 Hypno (bloqueado)</v>
      </c>
      <c r="D88" s="4" t="str">
        <f>"#"&amp;98&amp;" "&amp;VLOOKUP(98,Datos!$A:$I,2,FALSE())&amp;IF(VLOOKUP(98,Datos!$A:$I,6,FALSE()),""," (bloqueado)")</f>
        <v>#98 Krabby (bloqueado)</v>
      </c>
      <c r="F88" s="4" t="str">
        <f>"#"&amp;99&amp;" "&amp;VLOOKUP(99,Datos!$A:$I,2,FALSE())&amp;IF(VLOOKUP(99,Datos!$A:$I,6,FALSE()),""," (bloqueado)")</f>
        <v>#99 Kingler (bloqueado)</v>
      </c>
    </row>
    <row r="89" spans="2:6" x14ac:dyDescent="0.3"/>
    <row r="90" spans="2:6" ht="21.75" customHeight="1" x14ac:dyDescent="0.3">
      <c r="B90" s="23" t="s">
        <v>494</v>
      </c>
      <c r="C90" s="24"/>
      <c r="D90" s="24"/>
      <c r="E90" s="24"/>
      <c r="F90" s="24"/>
    </row>
    <row r="91" spans="2:6" ht="90" customHeight="1" x14ac:dyDescent="0.3">
      <c r="B91" s="3" t="e" vm="100">
        <f>_xlfn.IMAGE("https://raw.githubusercontent.com/PokeAPI/sprites/master/sprites/items/poke-ball.png","Sticker 100",0)</f>
        <v>#VALUE!</v>
      </c>
      <c r="D91" s="3" t="e" vm="101">
        <f>_xlfn.IMAGE("https://raw.githubusercontent.com/PokeAPI/sprites/master/sprites/items/poke-ball.png","Sticker 101",0)</f>
        <v>#VALUE!</v>
      </c>
      <c r="F91" s="3" t="e" vm="102">
        <f>_xlfn.IMAGE("https://raw.githubusercontent.com/PokeAPI/sprites/master/sprites/items/poke-ball.png","Sticker 102",0)</f>
        <v>#VALUE!</v>
      </c>
    </row>
    <row r="92" spans="2:6" ht="15.75" customHeight="1" x14ac:dyDescent="0.3">
      <c r="B92" s="4" t="str">
        <f>"#"&amp;100&amp;" "&amp;VLOOKUP(100,Datos!$A:$I,2,FALSE())&amp;IF(VLOOKUP(100,Datos!$A:$I,6,FALSE()),""," (bloqueado)")</f>
        <v>#100 Voltorb (bloqueado)</v>
      </c>
      <c r="D92" s="4" t="str">
        <f>"#"&amp;101&amp;" "&amp;VLOOKUP(101,Datos!$A:$I,2,FALSE())&amp;IF(VLOOKUP(101,Datos!$A:$I,6,FALSE()),""," (bloqueado)")</f>
        <v>#101 Electrode (bloqueado)</v>
      </c>
      <c r="F92" s="4" t="str">
        <f>"#"&amp;102&amp;" "&amp;VLOOKUP(102,Datos!$A:$I,2,FALSE())&amp;IF(VLOOKUP(102,Datos!$A:$I,6,FALSE()),""," (bloqueado)")</f>
        <v>#102 Exeggcute (bloqueado)</v>
      </c>
    </row>
    <row r="93" spans="2:6" ht="90" customHeight="1" x14ac:dyDescent="0.3">
      <c r="B93" s="3" t="e" vm="103">
        <f>_xlfn.IMAGE("https://raw.githubusercontent.com/PokeAPI/sprites/master/sprites/items/poke-ball.png","Sticker 103",0)</f>
        <v>#VALUE!</v>
      </c>
      <c r="D93" s="3" t="e" vm="104">
        <f>_xlfn.IMAGE("https://raw.githubusercontent.com/PokeAPI/sprites/master/sprites/items/poke-ball.png","Sticker 104",0)</f>
        <v>#VALUE!</v>
      </c>
      <c r="F93" s="3" t="e" vm="105">
        <f>_xlfn.IMAGE("https://raw.githubusercontent.com/PokeAPI/sprites/master/sprites/items/poke-ball.png","Sticker 105",0)</f>
        <v>#VALUE!</v>
      </c>
    </row>
    <row r="94" spans="2:6" ht="15.75" customHeight="1" x14ac:dyDescent="0.3">
      <c r="B94" s="4" t="str">
        <f>"#"&amp;103&amp;" "&amp;VLOOKUP(103,Datos!$A:$I,2,FALSE())&amp;IF(VLOOKUP(103,Datos!$A:$I,6,FALSE()),""," (bloqueado)")</f>
        <v>#103 Exeggutor (bloqueado)</v>
      </c>
      <c r="D94" s="4" t="str">
        <f>"#"&amp;104&amp;" "&amp;VLOOKUP(104,Datos!$A:$I,2,FALSE())&amp;IF(VLOOKUP(104,Datos!$A:$I,6,FALSE()),""," (bloqueado)")</f>
        <v>#104 Cubone (bloqueado)</v>
      </c>
      <c r="F94" s="4" t="str">
        <f>"#"&amp;105&amp;" "&amp;VLOOKUP(105,Datos!$A:$I,2,FALSE())&amp;IF(VLOOKUP(105,Datos!$A:$I,6,FALSE()),""," (bloqueado)")</f>
        <v>#105 Marowak (bloqueado)</v>
      </c>
    </row>
    <row r="95" spans="2:6" ht="90" customHeight="1" x14ac:dyDescent="0.3">
      <c r="B95" s="3" t="e" vm="106">
        <f>_xlfn.IMAGE("https://raw.githubusercontent.com/PokeAPI/sprites/master/sprites/items/poke-ball.png","Sticker 106",0)</f>
        <v>#VALUE!</v>
      </c>
      <c r="D95" s="3" t="e" vm="107">
        <f>_xlfn.IMAGE("https://raw.githubusercontent.com/PokeAPI/sprites/master/sprites/items/poke-ball.png","Sticker 107",0)</f>
        <v>#VALUE!</v>
      </c>
      <c r="F95" s="3" t="e" vm="108">
        <f>_xlfn.IMAGE("https://raw.githubusercontent.com/PokeAPI/sprites/master/sprites/items/poke-ball.png","Sticker 108",0)</f>
        <v>#VALUE!</v>
      </c>
    </row>
    <row r="96" spans="2:6" ht="15.75" customHeight="1" x14ac:dyDescent="0.3">
      <c r="B96" s="4" t="str">
        <f>"#"&amp;106&amp;" "&amp;VLOOKUP(106,Datos!$A:$I,2,FALSE())&amp;IF(VLOOKUP(106,Datos!$A:$I,6,FALSE()),""," (bloqueado)")</f>
        <v>#106 Hitmonlee (bloqueado)</v>
      </c>
      <c r="D96" s="4" t="str">
        <f>"#"&amp;107&amp;" "&amp;VLOOKUP(107,Datos!$A:$I,2,FALSE())&amp;IF(VLOOKUP(107,Datos!$A:$I,6,FALSE()),""," (bloqueado)")</f>
        <v>#107 Hitmonchan (bloqueado)</v>
      </c>
      <c r="F96" s="4" t="str">
        <f>"#"&amp;108&amp;" "&amp;VLOOKUP(108,Datos!$A:$I,2,FALSE())&amp;IF(VLOOKUP(108,Datos!$A:$I,6,FALSE()),""," (bloqueado)")</f>
        <v>#108 Lickitung (bloqueado)</v>
      </c>
    </row>
    <row r="97" spans="2:6" x14ac:dyDescent="0.3"/>
    <row r="98" spans="2:6" ht="21.75" customHeight="1" x14ac:dyDescent="0.3">
      <c r="B98" s="23" t="s">
        <v>495</v>
      </c>
      <c r="C98" s="24"/>
      <c r="D98" s="24"/>
      <c r="E98" s="24"/>
      <c r="F98" s="24"/>
    </row>
    <row r="99" spans="2:6" ht="90" customHeight="1" x14ac:dyDescent="0.3">
      <c r="B99" s="3" t="e" vm="109">
        <f>_xlfn.IMAGE("https://raw.githubusercontent.com/PokeAPI/sprites/master/sprites/items/poke-ball.png","Sticker 109",0)</f>
        <v>#VALUE!</v>
      </c>
      <c r="D99" s="3" t="e" vm="110">
        <f>_xlfn.IMAGE("https://raw.githubusercontent.com/PokeAPI/sprites/master/sprites/items/poke-ball.png","Sticker 110",0)</f>
        <v>#VALUE!</v>
      </c>
      <c r="F99" s="3" t="e" vm="111">
        <f>_xlfn.IMAGE("https://raw.githubusercontent.com/PokeAPI/sprites/master/sprites/items/poke-ball.png","Sticker 111",0)</f>
        <v>#VALUE!</v>
      </c>
    </row>
    <row r="100" spans="2:6" ht="15.75" customHeight="1" x14ac:dyDescent="0.3">
      <c r="B100" s="4" t="str">
        <f>"#"&amp;109&amp;" "&amp;VLOOKUP(109,Datos!$A:$I,2,FALSE())&amp;IF(VLOOKUP(109,Datos!$A:$I,6,FALSE()),""," (bloqueado)")</f>
        <v>#109 Koffing (bloqueado)</v>
      </c>
      <c r="D100" s="4" t="str">
        <f>"#"&amp;110&amp;" "&amp;VLOOKUP(110,Datos!$A:$I,2,FALSE())&amp;IF(VLOOKUP(110,Datos!$A:$I,6,FALSE()),""," (bloqueado)")</f>
        <v>#110 Weezing (bloqueado)</v>
      </c>
      <c r="F100" s="4" t="str">
        <f>"#"&amp;111&amp;" "&amp;VLOOKUP(111,Datos!$A:$I,2,FALSE())&amp;IF(VLOOKUP(111,Datos!$A:$I,6,FALSE()),""," (bloqueado)")</f>
        <v>#111 Rhyhorn (bloqueado)</v>
      </c>
    </row>
    <row r="101" spans="2:6" ht="90" customHeight="1" x14ac:dyDescent="0.3">
      <c r="B101" s="3" t="e" vm="112">
        <f>_xlfn.IMAGE("https://raw.githubusercontent.com/PokeAPI/sprites/master/sprites/items/poke-ball.png","Sticker 112",0)</f>
        <v>#VALUE!</v>
      </c>
      <c r="D101" s="3" t="e" vm="113">
        <f>_xlfn.IMAGE("https://raw.githubusercontent.com/PokeAPI/sprites/master/sprites/items/poke-ball.png","Sticker 113",0)</f>
        <v>#VALUE!</v>
      </c>
      <c r="F101" s="3" t="e" vm="114">
        <f>_xlfn.IMAGE("https://raw.githubusercontent.com/PokeAPI/sprites/master/sprites/items/poke-ball.png","Sticker 114",0)</f>
        <v>#VALUE!</v>
      </c>
    </row>
    <row r="102" spans="2:6" ht="15.75" customHeight="1" x14ac:dyDescent="0.3">
      <c r="B102" s="4" t="str">
        <f>"#"&amp;112&amp;" "&amp;VLOOKUP(112,Datos!$A:$I,2,FALSE())&amp;IF(VLOOKUP(112,Datos!$A:$I,6,FALSE()),""," (bloqueado)")</f>
        <v>#112 Rhydon (bloqueado)</v>
      </c>
      <c r="D102" s="4" t="str">
        <f>"#"&amp;113&amp;" "&amp;VLOOKUP(113,Datos!$A:$I,2,FALSE())&amp;IF(VLOOKUP(113,Datos!$A:$I,6,FALSE()),""," (bloqueado)")</f>
        <v>#113 Chansey (bloqueado)</v>
      </c>
      <c r="F102" s="4" t="str">
        <f>"#"&amp;114&amp;" "&amp;VLOOKUP(114,Datos!$A:$I,2,FALSE())&amp;IF(VLOOKUP(114,Datos!$A:$I,6,FALSE()),""," (bloqueado)")</f>
        <v>#114 Tangela (bloqueado)</v>
      </c>
    </row>
    <row r="103" spans="2:6" ht="90" customHeight="1" x14ac:dyDescent="0.3">
      <c r="B103" s="3" t="e" vm="115">
        <f>_xlfn.IMAGE("https://raw.githubusercontent.com/PokeAPI/sprites/master/sprites/items/poke-ball.png","Sticker 115",0)</f>
        <v>#VALUE!</v>
      </c>
      <c r="D103" s="3" t="e" vm="116">
        <f>_xlfn.IMAGE("https://raw.githubusercontent.com/PokeAPI/sprites/master/sprites/items/poke-ball.png","Sticker 116",0)</f>
        <v>#VALUE!</v>
      </c>
      <c r="F103" s="3" t="e" vm="117">
        <f>_xlfn.IMAGE("https://raw.githubusercontent.com/PokeAPI/sprites/master/sprites/items/poke-ball.png","Sticker 117",0)</f>
        <v>#VALUE!</v>
      </c>
    </row>
    <row r="104" spans="2:6" ht="15.75" customHeight="1" x14ac:dyDescent="0.3">
      <c r="B104" s="4" t="str">
        <f>"#"&amp;115&amp;" "&amp;VLOOKUP(115,Datos!$A:$I,2,FALSE())&amp;IF(VLOOKUP(115,Datos!$A:$I,6,FALSE()),""," (bloqueado)")</f>
        <v>#115 Kangaskhan (bloqueado)</v>
      </c>
      <c r="D104" s="4" t="str">
        <f>"#"&amp;116&amp;" "&amp;VLOOKUP(116,Datos!$A:$I,2,FALSE())&amp;IF(VLOOKUP(116,Datos!$A:$I,6,FALSE()),""," (bloqueado)")</f>
        <v>#116 Horsea (bloqueado)</v>
      </c>
      <c r="F104" s="4" t="str">
        <f>"#"&amp;117&amp;" "&amp;VLOOKUP(117,Datos!$A:$I,2,FALSE())&amp;IF(VLOOKUP(117,Datos!$A:$I,6,FALSE()),""," (bloqueado)")</f>
        <v>#117 Seadra (bloqueado)</v>
      </c>
    </row>
    <row r="105" spans="2:6" x14ac:dyDescent="0.3"/>
    <row r="106" spans="2:6" ht="21.75" customHeight="1" x14ac:dyDescent="0.3">
      <c r="B106" s="23" t="s">
        <v>496</v>
      </c>
      <c r="C106" s="24"/>
      <c r="D106" s="24"/>
      <c r="E106" s="24"/>
      <c r="F106" s="24"/>
    </row>
    <row r="107" spans="2:6" ht="90" customHeight="1" x14ac:dyDescent="0.3">
      <c r="B107" s="3" t="e" vm="118">
        <f>_xlfn.IMAGE("https://raw.githubusercontent.com/PokeAPI/sprites/master/sprites/items/poke-ball.png","Sticker 118",0)</f>
        <v>#VALUE!</v>
      </c>
      <c r="D107" s="3" t="e" vm="119">
        <f>_xlfn.IMAGE("https://raw.githubusercontent.com/PokeAPI/sprites/master/sprites/items/poke-ball.png","Sticker 119",0)</f>
        <v>#VALUE!</v>
      </c>
      <c r="F107" s="3" t="e" vm="120">
        <f>_xlfn.IMAGE("https://raw.githubusercontent.com/PokeAPI/sprites/master/sprites/items/poke-ball.png","Sticker 120",0)</f>
        <v>#VALUE!</v>
      </c>
    </row>
    <row r="108" spans="2:6" ht="15.75" customHeight="1" x14ac:dyDescent="0.3">
      <c r="B108" s="4" t="str">
        <f>"#"&amp;118&amp;" "&amp;VLOOKUP(118,Datos!$A:$I,2,FALSE())&amp;IF(VLOOKUP(118,Datos!$A:$I,6,FALSE()),""," (bloqueado)")</f>
        <v>#118 Goldeen (bloqueado)</v>
      </c>
      <c r="D108" s="4" t="str">
        <f>"#"&amp;119&amp;" "&amp;VLOOKUP(119,Datos!$A:$I,2,FALSE())&amp;IF(VLOOKUP(119,Datos!$A:$I,6,FALSE()),""," (bloqueado)")</f>
        <v>#119 Seaking (bloqueado)</v>
      </c>
      <c r="F108" s="4" t="str">
        <f>"#"&amp;120&amp;" "&amp;VLOOKUP(120,Datos!$A:$I,2,FALSE())&amp;IF(VLOOKUP(120,Datos!$A:$I,6,FALSE()),""," (bloqueado)")</f>
        <v>#120 Staryu (bloqueado)</v>
      </c>
    </row>
    <row r="109" spans="2:6" ht="90" customHeight="1" x14ac:dyDescent="0.3">
      <c r="B109" s="3" t="e" vm="121">
        <f>_xlfn.IMAGE("https://raw.githubusercontent.com/PokeAPI/sprites/master/sprites/items/poke-ball.png","Sticker 121",0)</f>
        <v>#VALUE!</v>
      </c>
      <c r="D109" s="3" t="e" vm="122">
        <f>_xlfn.IMAGE("https://raw.githubusercontent.com/PokeAPI/sprites/master/sprites/items/poke-ball.png","Sticker 122",0)</f>
        <v>#VALUE!</v>
      </c>
      <c r="F109" s="3" t="e" vm="123">
        <f>_xlfn.IMAGE("https://raw.githubusercontent.com/PokeAPI/sprites/master/sprites/items/poke-ball.png","Sticker 123",0)</f>
        <v>#VALUE!</v>
      </c>
    </row>
    <row r="110" spans="2:6" ht="15.75" customHeight="1" x14ac:dyDescent="0.3">
      <c r="B110" s="4" t="str">
        <f>"#"&amp;121&amp;" "&amp;VLOOKUP(121,Datos!$A:$I,2,FALSE())&amp;IF(VLOOKUP(121,Datos!$A:$I,6,FALSE()),""," (bloqueado)")</f>
        <v>#121 Starmie (bloqueado)</v>
      </c>
      <c r="D110" s="4" t="str">
        <f>"#"&amp;122&amp;" "&amp;VLOOKUP(122,Datos!$A:$I,2,FALSE())&amp;IF(VLOOKUP(122,Datos!$A:$I,6,FALSE()),""," (bloqueado)")</f>
        <v>#122 Mr. Mime (bloqueado)</v>
      </c>
      <c r="F110" s="4" t="str">
        <f>"#"&amp;123&amp;" "&amp;VLOOKUP(123,Datos!$A:$I,2,FALSE())&amp;IF(VLOOKUP(123,Datos!$A:$I,6,FALSE()),""," (bloqueado)")</f>
        <v>#123 Scyther (bloqueado)</v>
      </c>
    </row>
    <row r="111" spans="2:6" ht="90" customHeight="1" x14ac:dyDescent="0.3">
      <c r="B111" s="3" t="e" vm="124">
        <f>_xlfn.IMAGE("https://raw.githubusercontent.com/PokeAPI/sprites/master/sprites/items/poke-ball.png","Sticker 124",0)</f>
        <v>#VALUE!</v>
      </c>
      <c r="D111" s="3" t="e" vm="125">
        <f>_xlfn.IMAGE("https://raw.githubusercontent.com/PokeAPI/sprites/master/sprites/items/poke-ball.png","Sticker 125",0)</f>
        <v>#VALUE!</v>
      </c>
      <c r="F111" s="3" t="e" vm="126">
        <f>_xlfn.IMAGE("https://raw.githubusercontent.com/PokeAPI/sprites/master/sprites/items/poke-ball.png","Sticker 126",0)</f>
        <v>#VALUE!</v>
      </c>
    </row>
    <row r="112" spans="2:6" ht="15.75" customHeight="1" x14ac:dyDescent="0.3">
      <c r="B112" s="4" t="str">
        <f>"#"&amp;124&amp;" "&amp;VLOOKUP(124,Datos!$A:$I,2,FALSE())&amp;IF(VLOOKUP(124,Datos!$A:$I,6,FALSE()),""," (bloqueado)")</f>
        <v>#124 Jynx (bloqueado)</v>
      </c>
      <c r="D112" s="4" t="str">
        <f>"#"&amp;125&amp;" "&amp;VLOOKUP(125,Datos!$A:$I,2,FALSE())&amp;IF(VLOOKUP(125,Datos!$A:$I,6,FALSE()),""," (bloqueado)")</f>
        <v>#125 Electabuzz (bloqueado)</v>
      </c>
      <c r="F112" s="4" t="str">
        <f>"#"&amp;126&amp;" "&amp;VLOOKUP(126,Datos!$A:$I,2,FALSE())&amp;IF(VLOOKUP(126,Datos!$A:$I,6,FALSE()),""," (bloqueado)")</f>
        <v>#126 Magmar (bloqueado)</v>
      </c>
    </row>
    <row r="113" spans="2:6" x14ac:dyDescent="0.3"/>
    <row r="114" spans="2:6" ht="21.75" customHeight="1" x14ac:dyDescent="0.3">
      <c r="B114" s="23" t="s">
        <v>497</v>
      </c>
      <c r="C114" s="24"/>
      <c r="D114" s="24"/>
      <c r="E114" s="24"/>
      <c r="F114" s="24"/>
    </row>
    <row r="115" spans="2:6" ht="90" customHeight="1" x14ac:dyDescent="0.3">
      <c r="B115" s="3" t="e" vm="127">
        <f>_xlfn.IMAGE("https://raw.githubusercontent.com/PokeAPI/sprites/master/sprites/items/poke-ball.png","Sticker 127",0)</f>
        <v>#VALUE!</v>
      </c>
      <c r="D115" s="3" t="e" vm="128">
        <f>_xlfn.IMAGE("https://raw.githubusercontent.com/PokeAPI/sprites/master/sprites/items/poke-ball.png","Sticker 128",0)</f>
        <v>#VALUE!</v>
      </c>
      <c r="F115" s="3" t="e" vm="129">
        <f>_xlfn.IMAGE("https://raw.githubusercontent.com/PokeAPI/sprites/master/sprites/items/poke-ball.png","Sticker 129",0)</f>
        <v>#VALUE!</v>
      </c>
    </row>
    <row r="116" spans="2:6" ht="15.75" customHeight="1" x14ac:dyDescent="0.3">
      <c r="B116" s="4" t="str">
        <f>"#"&amp;127&amp;" "&amp;VLOOKUP(127,Datos!$A:$I,2,FALSE())&amp;IF(VLOOKUP(127,Datos!$A:$I,6,FALSE()),""," (bloqueado)")</f>
        <v>#127 Pinsir (bloqueado)</v>
      </c>
      <c r="D116" s="4" t="str">
        <f>"#"&amp;128&amp;" "&amp;VLOOKUP(128,Datos!$A:$I,2,FALSE())&amp;IF(VLOOKUP(128,Datos!$A:$I,6,FALSE()),""," (bloqueado)")</f>
        <v>#128 Tauros (bloqueado)</v>
      </c>
      <c r="F116" s="4" t="str">
        <f>"#"&amp;129&amp;" "&amp;VLOOKUP(129,Datos!$A:$I,2,FALSE())&amp;IF(VLOOKUP(129,Datos!$A:$I,6,FALSE()),""," (bloqueado)")</f>
        <v>#129 Magikarp (bloqueado)</v>
      </c>
    </row>
    <row r="117" spans="2:6" ht="90" customHeight="1" x14ac:dyDescent="0.3">
      <c r="B117" s="3" t="e" vm="130">
        <f>_xlfn.IMAGE("https://raw.githubusercontent.com/PokeAPI/sprites/master/sprites/items/poke-ball.png","Sticker 130",0)</f>
        <v>#VALUE!</v>
      </c>
      <c r="D117" s="3" t="e" vm="131">
        <f>_xlfn.IMAGE("https://raw.githubusercontent.com/PokeAPI/sprites/master/sprites/items/poke-ball.png","Sticker 131",0)</f>
        <v>#VALUE!</v>
      </c>
      <c r="F117" s="3" t="e" vm="132">
        <f>_xlfn.IMAGE("https://raw.githubusercontent.com/PokeAPI/sprites/master/sprites/items/poke-ball.png","Sticker 132",0)</f>
        <v>#VALUE!</v>
      </c>
    </row>
    <row r="118" spans="2:6" ht="15.75" customHeight="1" x14ac:dyDescent="0.3">
      <c r="B118" s="4" t="str">
        <f>"#"&amp;130&amp;" "&amp;VLOOKUP(130,Datos!$A:$I,2,FALSE())&amp;IF(VLOOKUP(130,Datos!$A:$I,6,FALSE()),""," (bloqueado)")</f>
        <v>#130 Gyarados (bloqueado)</v>
      </c>
      <c r="D118" s="4" t="str">
        <f>"#"&amp;131&amp;" "&amp;VLOOKUP(131,Datos!$A:$I,2,FALSE())&amp;IF(VLOOKUP(131,Datos!$A:$I,6,FALSE()),""," (bloqueado)")</f>
        <v>#131 Lapras (bloqueado)</v>
      </c>
      <c r="F118" s="4" t="str">
        <f>"#"&amp;132&amp;" "&amp;VLOOKUP(132,Datos!$A:$I,2,FALSE())&amp;IF(VLOOKUP(132,Datos!$A:$I,6,FALSE()),""," (bloqueado)")</f>
        <v>#132 Ditto (bloqueado)</v>
      </c>
    </row>
    <row r="119" spans="2:6" ht="90" customHeight="1" x14ac:dyDescent="0.3">
      <c r="B119" s="3" t="e" vm="133">
        <f>_xlfn.IMAGE("https://raw.githubusercontent.com/PokeAPI/sprites/master/sprites/items/poke-ball.png","Sticker 133",0)</f>
        <v>#VALUE!</v>
      </c>
      <c r="D119" s="3" t="e" vm="134">
        <f>_xlfn.IMAGE("https://raw.githubusercontent.com/PokeAPI/sprites/master/sprites/items/poke-ball.png","Sticker 134",0)</f>
        <v>#VALUE!</v>
      </c>
      <c r="F119" s="3" t="e" vm="135">
        <f>_xlfn.IMAGE("https://raw.githubusercontent.com/PokeAPI/sprites/master/sprites/items/poke-ball.png","Sticker 135",0)</f>
        <v>#VALUE!</v>
      </c>
    </row>
    <row r="120" spans="2:6" ht="15.75" customHeight="1" x14ac:dyDescent="0.3">
      <c r="B120" s="4" t="str">
        <f>"#"&amp;133&amp;" "&amp;VLOOKUP(133,Datos!$A:$I,2,FALSE())&amp;IF(VLOOKUP(133,Datos!$A:$I,6,FALSE()),""," (bloqueado)")</f>
        <v>#133 Eevee (bloqueado)</v>
      </c>
      <c r="D120" s="4" t="str">
        <f>"#"&amp;134&amp;" "&amp;VLOOKUP(134,Datos!$A:$I,2,FALSE())&amp;IF(VLOOKUP(134,Datos!$A:$I,6,FALSE()),""," (bloqueado)")</f>
        <v>#134 Vaporeon (bloqueado)</v>
      </c>
      <c r="F120" s="4" t="str">
        <f>"#"&amp;135&amp;" "&amp;VLOOKUP(135,Datos!$A:$I,2,FALSE())&amp;IF(VLOOKUP(135,Datos!$A:$I,6,FALSE()),""," (bloqueado)")</f>
        <v>#135 Jolteon (bloqueado)</v>
      </c>
    </row>
    <row r="121" spans="2:6" x14ac:dyDescent="0.3"/>
    <row r="122" spans="2:6" ht="21.75" customHeight="1" x14ac:dyDescent="0.3">
      <c r="B122" s="23" t="s">
        <v>498</v>
      </c>
      <c r="C122" s="24"/>
      <c r="D122" s="24"/>
      <c r="E122" s="24"/>
      <c r="F122" s="24"/>
    </row>
    <row r="123" spans="2:6" ht="90" customHeight="1" x14ac:dyDescent="0.3">
      <c r="B123" s="3" t="e" vm="136">
        <f>_xlfn.IMAGE("https://raw.githubusercontent.com/PokeAPI/sprites/master/sprites/items/poke-ball.png","Sticker 136",0)</f>
        <v>#VALUE!</v>
      </c>
      <c r="D123" s="3" t="e" vm="137">
        <f>_xlfn.IMAGE("https://raw.githubusercontent.com/PokeAPI/sprites/master/sprites/items/poke-ball.png","Sticker 137",0)</f>
        <v>#VALUE!</v>
      </c>
      <c r="F123" s="3" t="e" vm="138">
        <f>_xlfn.IMAGE("https://raw.githubusercontent.com/PokeAPI/sprites/master/sprites/items/poke-ball.png","Sticker 138",0)</f>
        <v>#VALUE!</v>
      </c>
    </row>
    <row r="124" spans="2:6" ht="15.75" customHeight="1" x14ac:dyDescent="0.3">
      <c r="B124" s="4" t="str">
        <f>"#"&amp;136&amp;" "&amp;VLOOKUP(136,Datos!$A:$I,2,FALSE())&amp;IF(VLOOKUP(136,Datos!$A:$I,6,FALSE()),""," (bloqueado)")</f>
        <v>#136 Flareon (bloqueado)</v>
      </c>
      <c r="D124" s="4" t="str">
        <f>"#"&amp;137&amp;" "&amp;VLOOKUP(137,Datos!$A:$I,2,FALSE())&amp;IF(VLOOKUP(137,Datos!$A:$I,6,FALSE()),""," (bloqueado)")</f>
        <v>#137 Porygon (bloqueado)</v>
      </c>
      <c r="F124" s="4" t="str">
        <f>"#"&amp;138&amp;" "&amp;VLOOKUP(138,Datos!$A:$I,2,FALSE())&amp;IF(VLOOKUP(138,Datos!$A:$I,6,FALSE()),""," (bloqueado)")</f>
        <v>#138 Omanyte (bloqueado)</v>
      </c>
    </row>
    <row r="125" spans="2:6" ht="90" customHeight="1" x14ac:dyDescent="0.3">
      <c r="B125" s="3" t="e" vm="139">
        <f>_xlfn.IMAGE("https://raw.githubusercontent.com/PokeAPI/sprites/master/sprites/items/poke-ball.png","Sticker 139",0)</f>
        <v>#VALUE!</v>
      </c>
      <c r="D125" s="3" t="e" vm="140">
        <f>_xlfn.IMAGE("https://raw.githubusercontent.com/PokeAPI/sprites/master/sprites/items/poke-ball.png","Sticker 140",0)</f>
        <v>#VALUE!</v>
      </c>
      <c r="F125" s="3" t="e" vm="141">
        <f>_xlfn.IMAGE("https://raw.githubusercontent.com/PokeAPI/sprites/master/sprites/items/poke-ball.png","Sticker 141",0)</f>
        <v>#VALUE!</v>
      </c>
    </row>
    <row r="126" spans="2:6" ht="15.75" customHeight="1" x14ac:dyDescent="0.3">
      <c r="B126" s="4" t="str">
        <f>"#"&amp;139&amp;" "&amp;VLOOKUP(139,Datos!$A:$I,2,FALSE())&amp;IF(VLOOKUP(139,Datos!$A:$I,6,FALSE()),""," (bloqueado)")</f>
        <v>#139 Omastar (bloqueado)</v>
      </c>
      <c r="D126" s="4" t="str">
        <f>"#"&amp;140&amp;" "&amp;VLOOKUP(140,Datos!$A:$I,2,FALSE())&amp;IF(VLOOKUP(140,Datos!$A:$I,6,FALSE()),""," (bloqueado)")</f>
        <v>#140 Kabuto (bloqueado)</v>
      </c>
      <c r="F126" s="4" t="str">
        <f>"#"&amp;141&amp;" "&amp;VLOOKUP(141,Datos!$A:$I,2,FALSE())&amp;IF(VLOOKUP(141,Datos!$A:$I,6,FALSE()),""," (bloqueado)")</f>
        <v>#141 Kabutops (bloqueado)</v>
      </c>
    </row>
    <row r="127" spans="2:6" ht="90" customHeight="1" x14ac:dyDescent="0.3">
      <c r="B127" s="3" t="e" vm="142">
        <f>_xlfn.IMAGE("https://raw.githubusercontent.com/PokeAPI/sprites/master/sprites/items/poke-ball.png","Sticker 142",0)</f>
        <v>#VALUE!</v>
      </c>
      <c r="D127" s="3" t="e" vm="143">
        <f>_xlfn.IMAGE("https://raw.githubusercontent.com/PokeAPI/sprites/master/sprites/items/poke-ball.png","Sticker 143",0)</f>
        <v>#VALUE!</v>
      </c>
      <c r="F127" s="3" t="e" vm="144">
        <f>_xlfn.IMAGE("https://raw.githubusercontent.com/PokeAPI/sprites/master/sprites/items/poke-ball.png","Sticker 144",0)</f>
        <v>#VALUE!</v>
      </c>
    </row>
    <row r="128" spans="2:6" ht="15.75" customHeight="1" x14ac:dyDescent="0.3">
      <c r="B128" s="4" t="str">
        <f>"#"&amp;142&amp;" "&amp;VLOOKUP(142,Datos!$A:$I,2,FALSE())&amp;IF(VLOOKUP(142,Datos!$A:$I,6,FALSE()),""," (bloqueado)")</f>
        <v>#142 Aerodactyl (bloqueado)</v>
      </c>
      <c r="D128" s="4" t="str">
        <f>"#"&amp;143&amp;" "&amp;VLOOKUP(143,Datos!$A:$I,2,FALSE())&amp;IF(VLOOKUP(143,Datos!$A:$I,6,FALSE()),""," (bloqueado)")</f>
        <v>#143 Snorlax (bloqueado)</v>
      </c>
      <c r="F128" s="4" t="str">
        <f>"#"&amp;144&amp;" "&amp;VLOOKUP(144,Datos!$A:$I,2,FALSE())&amp;IF(VLOOKUP(144,Datos!$A:$I,6,FALSE()),""," (bloqueado)")</f>
        <v>#144 Articuno (bloqueado)</v>
      </c>
    </row>
    <row r="129" spans="2:6" x14ac:dyDescent="0.3"/>
    <row r="130" spans="2:6" ht="21.75" customHeight="1" x14ac:dyDescent="0.3">
      <c r="B130" s="23" t="s">
        <v>499</v>
      </c>
      <c r="C130" s="24"/>
      <c r="D130" s="24"/>
      <c r="E130" s="24"/>
      <c r="F130" s="24"/>
    </row>
    <row r="131" spans="2:6" ht="90" customHeight="1" x14ac:dyDescent="0.3">
      <c r="B131" s="3" t="e" vm="145">
        <f>_xlfn.IMAGE("https://raw.githubusercontent.com/PokeAPI/sprites/master/sprites/items/poke-ball.png","Sticker 145",0)</f>
        <v>#VALUE!</v>
      </c>
      <c r="D131" s="3" t="e" vm="146">
        <f>_xlfn.IMAGE("https://raw.githubusercontent.com/PokeAPI/sprites/master/sprites/items/poke-ball.png","Sticker 146",0)</f>
        <v>#VALUE!</v>
      </c>
      <c r="F131" s="3" t="e" vm="147">
        <f>_xlfn.IMAGE("https://raw.githubusercontent.com/PokeAPI/sprites/master/sprites/items/poke-ball.png","Sticker 147",0)</f>
        <v>#VALUE!</v>
      </c>
    </row>
    <row r="132" spans="2:6" ht="15.75" customHeight="1" x14ac:dyDescent="0.3">
      <c r="B132" s="4" t="str">
        <f>"#"&amp;145&amp;" "&amp;VLOOKUP(145,Datos!$A:$I,2,FALSE())&amp;IF(VLOOKUP(145,Datos!$A:$I,6,FALSE()),""," (bloqueado)")</f>
        <v>#145 Zapdos (bloqueado)</v>
      </c>
      <c r="D132" s="4" t="str">
        <f>"#"&amp;146&amp;" "&amp;VLOOKUP(146,Datos!$A:$I,2,FALSE())&amp;IF(VLOOKUP(146,Datos!$A:$I,6,FALSE()),""," (bloqueado)")</f>
        <v>#146 Moltres (bloqueado)</v>
      </c>
      <c r="F132" s="4" t="str">
        <f>"#"&amp;147&amp;" "&amp;VLOOKUP(147,Datos!$A:$I,2,FALSE())&amp;IF(VLOOKUP(147,Datos!$A:$I,6,FALSE()),""," (bloqueado)")</f>
        <v>#147 Dratini (bloqueado)</v>
      </c>
    </row>
    <row r="133" spans="2:6" ht="90" customHeight="1" x14ac:dyDescent="0.3">
      <c r="B133" s="3" t="e" vm="148">
        <f>_xlfn.IMAGE("https://raw.githubusercontent.com/PokeAPI/sprites/master/sprites/items/poke-ball.png","Sticker 148",0)</f>
        <v>#VALUE!</v>
      </c>
      <c r="D133" s="3" t="e" vm="149">
        <f>_xlfn.IMAGE("https://raw.githubusercontent.com/PokeAPI/sprites/master/sprites/items/poke-ball.png","Sticker 149",0)</f>
        <v>#VALUE!</v>
      </c>
      <c r="F133" s="3" t="e" vm="150">
        <f>_xlfn.IMAGE("https://raw.githubusercontent.com/PokeAPI/sprites/master/sprites/items/poke-ball.png","Sticker 150",0)</f>
        <v>#VALUE!</v>
      </c>
    </row>
    <row r="134" spans="2:6" ht="15.75" customHeight="1" x14ac:dyDescent="0.3">
      <c r="B134" s="4" t="str">
        <f>"#"&amp;148&amp;" "&amp;VLOOKUP(148,Datos!$A:$I,2,FALSE())&amp;IF(VLOOKUP(148,Datos!$A:$I,6,FALSE()),""," (bloqueado)")</f>
        <v>#148 Dragonair (bloqueado)</v>
      </c>
      <c r="D134" s="4" t="str">
        <f>"#"&amp;149&amp;" "&amp;VLOOKUP(149,Datos!$A:$I,2,FALSE())&amp;IF(VLOOKUP(149,Datos!$A:$I,6,FALSE()),""," (bloqueado)")</f>
        <v>#149 Dragonite (bloqueado)</v>
      </c>
      <c r="F134" s="4" t="str">
        <f>"#"&amp;150&amp;" "&amp;VLOOKUP(150,Datos!$A:$I,2,FALSE())&amp;IF(VLOOKUP(150,Datos!$A:$I,6,FALSE()),""," (bloqueado)")</f>
        <v>#150 Mewtwo (bloqueado)</v>
      </c>
    </row>
    <row r="135" spans="2:6" ht="90" customHeight="1" x14ac:dyDescent="0.3">
      <c r="B135" s="3" t="e" vm="151">
        <f>_xlfn.IMAGE("https://raw.githubusercontent.com/PokeAPI/sprites/master/sprites/items/poke-ball.png","Sticker 151",0)</f>
        <v>#VALUE!</v>
      </c>
    </row>
    <row r="136" spans="2:6" ht="15.75" customHeight="1" x14ac:dyDescent="0.3">
      <c r="B136" s="4" t="str">
        <f>"#"&amp;151&amp;" "&amp;VLOOKUP(151,Datos!$A:$I,2,FALSE())&amp;IF(VLOOKUP(151,Datos!$A:$I,6,FALSE()),""," (bloqueado)")</f>
        <v>#151 Mew (bloqueado)</v>
      </c>
    </row>
  </sheetData>
  <sheetProtection sheet="1" objects="1" scenarios="1"/>
  <mergeCells count="17">
    <mergeCell ref="B106:F106"/>
    <mergeCell ref="B130:F130"/>
    <mergeCell ref="B98:F98"/>
    <mergeCell ref="B114:F114"/>
    <mergeCell ref="B122:F122"/>
    <mergeCell ref="B2:F2"/>
    <mergeCell ref="B34:F34"/>
    <mergeCell ref="B10:F10"/>
    <mergeCell ref="B42:F42"/>
    <mergeCell ref="B90:F90"/>
    <mergeCell ref="B18:F18"/>
    <mergeCell ref="B66:F66"/>
    <mergeCell ref="B50:F50"/>
    <mergeCell ref="B26:F26"/>
    <mergeCell ref="B58:F58"/>
    <mergeCell ref="B74:F74"/>
    <mergeCell ref="B82:F82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8"/>
  <sheetViews>
    <sheetView showGridLines="0" workbookViewId="0">
      <selection activeCell="H4" sqref="H4"/>
    </sheetView>
  </sheetViews>
  <sheetFormatPr defaultColWidth="0" defaultRowHeight="13.8" zeroHeight="1" x14ac:dyDescent="0.3"/>
  <cols>
    <col min="1" max="1" width="8.88671875" style="1" customWidth="1"/>
    <col min="2" max="2" width="18.44140625" style="1" bestFit="1" customWidth="1"/>
    <col min="3" max="3" width="20" style="1" customWidth="1"/>
    <col min="4" max="4" width="4" style="1" customWidth="1"/>
    <col min="5" max="5" width="20" style="1" customWidth="1"/>
    <col min="6" max="8" width="8.88671875" style="1" customWidth="1"/>
    <col min="9" max="16384" width="8.88671875" style="1" hidden="1"/>
  </cols>
  <sheetData>
    <row r="1" spans="1:8" ht="28.8" customHeight="1" x14ac:dyDescent="0.25">
      <c r="A1" s="2"/>
      <c r="B1" s="2"/>
      <c r="C1" s="26" t="s">
        <v>511</v>
      </c>
      <c r="D1" s="27"/>
      <c r="E1" s="27"/>
      <c r="F1" s="2"/>
      <c r="G1" s="2"/>
      <c r="H1" s="2"/>
    </row>
    <row r="2" spans="1:8" x14ac:dyDescent="0.3">
      <c r="A2" s="2"/>
      <c r="B2" s="2"/>
      <c r="C2" s="2"/>
      <c r="D2" s="2"/>
      <c r="E2" s="2"/>
      <c r="F2" s="2"/>
      <c r="G2" s="2"/>
      <c r="H2" s="2"/>
    </row>
    <row r="3" spans="1:8" x14ac:dyDescent="0.3">
      <c r="A3" s="2"/>
      <c r="B3" s="2"/>
      <c r="C3" s="5"/>
      <c r="D3" s="2"/>
      <c r="E3" s="5"/>
      <c r="F3" s="2"/>
      <c r="G3" s="2"/>
      <c r="H3" s="2"/>
    </row>
    <row r="4" spans="1:8" ht="100.05" customHeight="1" x14ac:dyDescent="0.3">
      <c r="A4" s="2"/>
      <c r="B4" s="2"/>
      <c r="C4" s="6"/>
      <c r="D4" s="2"/>
      <c r="E4" s="6"/>
      <c r="F4" s="2"/>
      <c r="G4" s="2"/>
      <c r="H4" s="2"/>
    </row>
    <row r="5" spans="1:8" x14ac:dyDescent="0.3">
      <c r="A5" s="2"/>
      <c r="B5" s="7" t="s">
        <v>506</v>
      </c>
      <c r="C5" s="28"/>
      <c r="D5" s="24"/>
      <c r="E5" s="24"/>
      <c r="F5" s="2"/>
      <c r="G5" s="2"/>
      <c r="H5" s="2"/>
    </row>
    <row r="6" spans="1:8" ht="28.8" customHeight="1" x14ac:dyDescent="0.3">
      <c r="A6" s="2"/>
      <c r="B6" s="7" t="s">
        <v>507</v>
      </c>
      <c r="C6" s="25"/>
      <c r="D6" s="24"/>
      <c r="E6" s="24"/>
      <c r="F6" s="2"/>
      <c r="G6" s="2"/>
      <c r="H6" s="2"/>
    </row>
    <row r="7" spans="1:8" x14ac:dyDescent="0.3">
      <c r="A7" s="2"/>
      <c r="B7" s="2"/>
      <c r="C7" s="2"/>
      <c r="D7" s="2"/>
      <c r="E7" s="2"/>
      <c r="F7" s="2"/>
      <c r="G7" s="2"/>
      <c r="H7" s="2"/>
    </row>
    <row r="8" spans="1:8" hidden="1" x14ac:dyDescent="0.3">
      <c r="A8" s="2"/>
      <c r="B8" s="2"/>
      <c r="C8" s="2"/>
      <c r="D8" s="2"/>
      <c r="E8" s="2"/>
      <c r="F8" s="2"/>
      <c r="G8" s="2"/>
      <c r="H8" s="2"/>
    </row>
    <row r="9" spans="1:8" hidden="1" x14ac:dyDescent="0.3">
      <c r="A9" s="2"/>
      <c r="B9" s="2"/>
      <c r="C9" s="2"/>
      <c r="D9" s="2"/>
      <c r="E9" s="2"/>
      <c r="F9" s="2"/>
      <c r="G9" s="2"/>
      <c r="H9" s="2"/>
    </row>
    <row r="10" spans="1:8" hidden="1" x14ac:dyDescent="0.3">
      <c r="A10" s="2"/>
      <c r="B10" s="2"/>
      <c r="C10" s="2"/>
      <c r="D10" s="2"/>
      <c r="E10" s="2"/>
      <c r="F10" s="2"/>
      <c r="G10" s="2"/>
      <c r="H10" s="2"/>
    </row>
    <row r="11" spans="1:8" hidden="1" x14ac:dyDescent="0.3">
      <c r="A11" s="2"/>
      <c r="B11" s="2"/>
      <c r="C11" s="2" t="s">
        <v>509</v>
      </c>
      <c r="D11" s="2"/>
      <c r="E11" s="2"/>
      <c r="F11" s="2"/>
      <c r="G11" s="2"/>
      <c r="H11" s="2"/>
    </row>
    <row r="12" spans="1:8" hidden="1" x14ac:dyDescent="0.3">
      <c r="A12" s="2"/>
      <c r="B12" s="2"/>
      <c r="C12" s="2"/>
      <c r="D12" s="2"/>
      <c r="E12" s="2"/>
      <c r="F12" s="2"/>
      <c r="G12" s="2"/>
      <c r="H12" s="2"/>
    </row>
    <row r="13" spans="1:8" hidden="1" x14ac:dyDescent="0.3">
      <c r="A13" s="2"/>
      <c r="B13" s="2"/>
      <c r="C13" s="2"/>
      <c r="D13" s="2"/>
      <c r="E13" s="2"/>
      <c r="F13" s="2"/>
      <c r="G13" s="2"/>
      <c r="H13" s="2"/>
    </row>
    <row r="14" spans="1:8" hidden="1" x14ac:dyDescent="0.3">
      <c r="A14" s="2"/>
      <c r="B14" s="2"/>
      <c r="C14" s="2"/>
      <c r="D14" s="2"/>
      <c r="E14" s="2"/>
      <c r="F14" s="2"/>
      <c r="G14" s="2"/>
      <c r="H14" s="2"/>
    </row>
    <row r="15" spans="1:8" hidden="1" x14ac:dyDescent="0.3">
      <c r="A15" s="2"/>
      <c r="B15" s="2"/>
      <c r="C15" s="2"/>
      <c r="D15" s="2"/>
      <c r="E15" s="2"/>
      <c r="F15" s="2"/>
      <c r="G15" s="2"/>
      <c r="H15" s="2"/>
    </row>
    <row r="16" spans="1:8" hidden="1" x14ac:dyDescent="0.3">
      <c r="A16" s="2"/>
      <c r="B16" s="2"/>
      <c r="C16" s="2"/>
      <c r="D16" s="2"/>
      <c r="E16" s="2"/>
      <c r="F16" s="2"/>
      <c r="G16" s="2"/>
      <c r="H16" s="2"/>
    </row>
    <row r="17" spans="1:8" ht="20.399999999999999" hidden="1" x14ac:dyDescent="0.3">
      <c r="A17" s="2"/>
      <c r="B17" s="8"/>
      <c r="C17" s="2"/>
      <c r="D17" s="2"/>
      <c r="E17" s="2"/>
      <c r="F17" s="2"/>
      <c r="G17" s="2"/>
      <c r="H17" s="2"/>
    </row>
    <row r="18" spans="1:8" ht="14.4" thickBot="1" x14ac:dyDescent="0.35">
      <c r="A18" s="2"/>
      <c r="B18" s="2"/>
      <c r="C18" s="2"/>
      <c r="D18" s="2"/>
      <c r="E18" s="2"/>
      <c r="F18" s="2"/>
      <c r="G18" s="2"/>
      <c r="H18" s="2"/>
    </row>
    <row r="19" spans="1:8" x14ac:dyDescent="0.3">
      <c r="A19" s="2"/>
      <c r="B19" s="9" t="s">
        <v>500</v>
      </c>
      <c r="C19" s="10">
        <v>0</v>
      </c>
      <c r="D19" s="2"/>
      <c r="E19" s="2"/>
      <c r="F19" s="2"/>
      <c r="G19" s="2"/>
      <c r="H19" s="2"/>
    </row>
    <row r="20" spans="1:8" x14ac:dyDescent="0.3">
      <c r="A20" s="2"/>
      <c r="B20" s="11" t="s">
        <v>501</v>
      </c>
      <c r="C20" s="12">
        <v>150</v>
      </c>
      <c r="D20" s="2"/>
      <c r="E20" s="2"/>
      <c r="F20" s="2"/>
      <c r="G20" s="2"/>
      <c r="H20" s="2"/>
    </row>
    <row r="21" spans="1:8" x14ac:dyDescent="0.3">
      <c r="A21" s="2"/>
      <c r="B21" s="11" t="s">
        <v>502</v>
      </c>
      <c r="C21" s="12">
        <v>5</v>
      </c>
      <c r="D21" s="2"/>
      <c r="E21" s="2"/>
      <c r="F21" s="2"/>
      <c r="G21" s="2"/>
      <c r="H21" s="2"/>
    </row>
    <row r="22" spans="1:8" x14ac:dyDescent="0.3">
      <c r="A22" s="2"/>
      <c r="B22" s="13"/>
      <c r="C22" s="12"/>
      <c r="D22" s="2"/>
      <c r="E22" s="2"/>
      <c r="F22" s="2"/>
      <c r="G22" s="2"/>
      <c r="H22" s="2"/>
    </row>
    <row r="23" spans="1:8" x14ac:dyDescent="0.3">
      <c r="A23" s="2"/>
      <c r="B23" s="11" t="s">
        <v>503</v>
      </c>
      <c r="C23" s="12" t="str">
        <f>COUNTIF(Datos!F2:F152,TRUE)&amp;" / 151"</f>
        <v>0 / 151</v>
      </c>
      <c r="D23" s="2"/>
      <c r="E23" s="2"/>
      <c r="F23" s="2"/>
      <c r="G23" s="2"/>
      <c r="H23" s="2"/>
    </row>
    <row r="24" spans="1:8" x14ac:dyDescent="0.3">
      <c r="A24" s="2"/>
      <c r="B24" s="11" t="s">
        <v>504</v>
      </c>
      <c r="C24" s="12">
        <f>SUM(Datos!G2:G152)</f>
        <v>0</v>
      </c>
      <c r="D24" s="2"/>
      <c r="E24" s="2"/>
      <c r="F24" s="2"/>
      <c r="G24" s="2"/>
      <c r="H24" s="2"/>
    </row>
    <row r="25" spans="1:8" x14ac:dyDescent="0.3">
      <c r="A25" s="2"/>
      <c r="B25" s="11" t="s">
        <v>505</v>
      </c>
      <c r="C25" s="14">
        <f>COUNTIF(Datos!F2:F152,TRUE)/151</f>
        <v>0</v>
      </c>
      <c r="D25" s="2"/>
      <c r="E25" s="2"/>
      <c r="F25" s="2"/>
      <c r="G25" s="2"/>
      <c r="H25" s="2"/>
    </row>
    <row r="26" spans="1:8" ht="14.4" thickBot="1" x14ac:dyDescent="0.35">
      <c r="A26" s="2"/>
      <c r="B26" s="15" t="s">
        <v>508</v>
      </c>
      <c r="C26" s="16"/>
      <c r="D26" s="2"/>
      <c r="E26" s="2"/>
      <c r="F26" s="2"/>
      <c r="G26" s="2"/>
      <c r="H26" s="2"/>
    </row>
    <row r="27" spans="1:8" x14ac:dyDescent="0.3">
      <c r="A27" s="2"/>
      <c r="B27" s="2"/>
      <c r="C27" s="2"/>
      <c r="D27" s="2"/>
      <c r="E27" s="2"/>
      <c r="F27" s="2"/>
      <c r="G27" s="2"/>
      <c r="H27" s="2"/>
    </row>
    <row r="28" spans="1:8" x14ac:dyDescent="0.3">
      <c r="A28" s="2"/>
      <c r="B28" s="2"/>
      <c r="C28" s="2"/>
      <c r="D28" s="2"/>
      <c r="E28" s="2"/>
      <c r="F28" s="2"/>
      <c r="G28" s="2"/>
      <c r="H28" s="2"/>
    </row>
  </sheetData>
  <mergeCells count="3">
    <mergeCell ref="C6:E6"/>
    <mergeCell ref="C1:E1"/>
    <mergeCell ref="C5:E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Datos</vt:lpstr>
      <vt:lpstr>Donaciones</vt:lpstr>
      <vt:lpstr>Álbum</vt:lpstr>
      <vt:lpstr>Tienda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Jean Franco Roncal</cp:lastModifiedBy>
  <cp:revision>0</cp:revision>
  <dcterms:created xsi:type="dcterms:W3CDTF">2026-09-01T19:29:58Z</dcterms:created>
  <dcterms:modified xsi:type="dcterms:W3CDTF">2026-09-04T18:55:03Z</dcterms:modified>
  <dc:language>en-US</dc:language>
</cp:coreProperties>
</file>